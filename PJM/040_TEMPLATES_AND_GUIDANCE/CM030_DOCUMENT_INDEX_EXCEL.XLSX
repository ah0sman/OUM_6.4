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30" yWindow="1095" windowWidth="15930" windowHeight="9375" tabRatio="855" firstSheet="1" activeTab="1"/>
  </bookViews>
  <sheets>
    <sheet name="BneWorkBookProperties" sheetId="4" state="veryHidden" r:id="rId1"/>
    <sheet name="Title Page" sheetId="24" r:id="rId2"/>
    <sheet name="Document Control" sheetId="25" r:id="rId3"/>
    <sheet name="Contents" sheetId="21" r:id="rId4"/>
    <sheet name="Summary" sheetId="26" r:id="rId5"/>
    <sheet name="Document Index" sheetId="15" r:id="rId6"/>
    <sheet name="Document Statuses" sheetId="16" r:id="rId7"/>
    <sheet name="Template" sheetId="18" r:id="rId8"/>
  </sheets>
  <definedNames>
    <definedName name="AddNumbers">'Document Index'!$B$34:$B$42</definedName>
    <definedName name="ChangeDate">'Document Control'!$B$10:$B$14</definedName>
    <definedName name="CustomTops" localSheetId="2">'Document Control'!$C$10:$C$13</definedName>
    <definedName name="CustomTops" localSheetId="5">'Document Index'!$E$5:$E$8</definedName>
    <definedName name="CustomTops" localSheetId="6">'Document Statuses'!$C$5:$C$11</definedName>
    <definedName name="CustomTops" localSheetId="4">Summary!$C$5:$C$8</definedName>
    <definedName name="CustomTops" localSheetId="7">Template!$C$5:$C$8</definedName>
    <definedName name="CustomTops" localSheetId="1">'Title Page'!$C$24:$C$26</definedName>
    <definedName name="DocNumbers">'Document Index'!$B$4:$B$28</definedName>
    <definedName name="DocStati">'Document Statuses'!$C$5:$C$11</definedName>
    <definedName name="DocStatus">'Document Index'!$L$4:$L$28</definedName>
    <definedName name="Document_Ref">'Title Page'!$D$19</definedName>
    <definedName name="ObjectTypes">#REF!</definedName>
    <definedName name="Responsibilities">'Document Statuses'!$D$5:$D$14</definedName>
    <definedName name="RespType">#REF!</definedName>
    <definedName name="RoleCategories">'Document Index'!$G$5:$G$28</definedName>
    <definedName name="StartTable">Summary!$B$4</definedName>
    <definedName name="StartTableContent">'Document Index'!$B$5</definedName>
    <definedName name="Subject">'Title Page'!$C$14</definedName>
    <definedName name="Title">'Title Page'!$D$11</definedName>
  </definedNames>
  <calcPr calcId="125725"/>
</workbook>
</file>

<file path=xl/calcChain.xml><?xml version="1.0" encoding="utf-8"?>
<calcChain xmlns="http://schemas.openxmlformats.org/spreadsheetml/2006/main">
  <c r="D9" i="26"/>
  <c r="B9"/>
  <c r="B10"/>
  <c r="B10" i="16"/>
  <c r="B8"/>
  <c r="B9"/>
  <c r="B6"/>
  <c r="B7"/>
  <c r="B11"/>
  <c r="B5"/>
  <c r="B24" i="15"/>
  <c r="B6"/>
  <c r="D10" i="26"/>
  <c r="B23" i="15"/>
  <c r="B2" i="26"/>
  <c r="B6"/>
  <c r="D6"/>
  <c r="B21" i="15"/>
  <c r="D8" i="26"/>
  <c r="D7"/>
  <c r="B7"/>
  <c r="B8"/>
  <c r="B5"/>
  <c r="B9" i="15"/>
  <c r="B10"/>
  <c r="B11"/>
  <c r="B14"/>
  <c r="B15"/>
  <c r="B16"/>
  <c r="B17"/>
  <c r="B18"/>
  <c r="B20"/>
  <c r="B12"/>
  <c r="B13"/>
  <c r="B5"/>
  <c r="D5" i="26"/>
  <c r="B25" i="15"/>
  <c r="B19"/>
  <c r="B7"/>
  <c r="B8"/>
  <c r="D17" i="24"/>
  <c r="D18"/>
  <c r="D20"/>
  <c r="D2" i="21"/>
  <c r="E1"/>
  <c r="A1"/>
  <c r="E2" i="25"/>
  <c r="F1"/>
  <c r="A1"/>
  <c r="E2" i="24"/>
  <c r="D1"/>
  <c r="A1"/>
  <c r="B4" i="21"/>
</calcChain>
</file>

<file path=xl/comments1.xml><?xml version="1.0" encoding="utf-8"?>
<comments xmlns="http://schemas.openxmlformats.org/spreadsheetml/2006/main">
  <authors>
    <author>Volker Eckardt</author>
  </authors>
  <commentList>
    <comment ref="D17" authorId="0">
      <text>
        <r>
          <rPr>
            <sz val="8"/>
            <color indexed="81"/>
            <rFont val="Tahoma"/>
          </rPr>
          <t>Automatically retrieved from document control.</t>
        </r>
      </text>
    </comment>
    <comment ref="D18" authorId="0">
      <text>
        <r>
          <rPr>
            <sz val="8"/>
            <color indexed="81"/>
            <rFont val="Tahoma"/>
          </rPr>
          <t>Automatically retrieved from document control.</t>
        </r>
      </text>
    </comment>
    <comment ref="D20" authorId="0">
      <text>
        <r>
          <rPr>
            <sz val="8"/>
            <color indexed="81"/>
            <rFont val="Tahoma"/>
          </rPr>
          <t>Automatically retrieved from document control.</t>
        </r>
      </text>
    </comment>
  </commentList>
</comments>
</file>

<file path=xl/sharedStrings.xml><?xml version="1.0" encoding="utf-8"?>
<sst xmlns="http://schemas.openxmlformats.org/spreadsheetml/2006/main" count="124" uniqueCount="76">
  <si>
    <t/>
  </si>
  <si>
    <t>No</t>
  </si>
  <si>
    <t>Hint</t>
  </si>
  <si>
    <t>1</t>
  </si>
  <si>
    <t>2</t>
  </si>
  <si>
    <t>Comment</t>
  </si>
  <si>
    <t>3</t>
  </si>
  <si>
    <t>4</t>
  </si>
  <si>
    <t>5</t>
  </si>
  <si>
    <t>6</t>
  </si>
  <si>
    <t>7</t>
  </si>
  <si>
    <t>Note: Click on the links to proceed</t>
  </si>
  <si>
    <t>8</t>
  </si>
  <si>
    <t>Col1</t>
  </si>
  <si>
    <t>Col2</t>
  </si>
  <si>
    <t>Change Record</t>
  </si>
  <si>
    <t>Document Control</t>
  </si>
  <si>
    <t>Date</t>
  </si>
  <si>
    <t>Author</t>
  </si>
  <si>
    <t>Version</t>
  </si>
  <si>
    <t>Change Reference</t>
  </si>
  <si>
    <t>Reviewers</t>
  </si>
  <si>
    <t>Name</t>
  </si>
  <si>
    <t>Position</t>
  </si>
  <si>
    <t>Note</t>
  </si>
  <si>
    <t>Location</t>
  </si>
  <si>
    <t>OUM</t>
  </si>
  <si>
    <t>Author:</t>
  </si>
  <si>
    <t>Creation Date:</t>
  </si>
  <si>
    <t>Last Updated:</t>
  </si>
  <si>
    <t>Document Ref:</t>
  </si>
  <si>
    <t>Version:</t>
  </si>
  <si>
    <t>Approvals</t>
  </si>
  <si>
    <t>&lt;Approver 1&gt;</t>
  </si>
  <si>
    <t>&lt;Approver 2&gt;</t>
  </si>
  <si>
    <t>Approver</t>
  </si>
  <si>
    <t>Signature</t>
  </si>
  <si>
    <t>Content</t>
  </si>
  <si>
    <t>Metrics</t>
  </si>
  <si>
    <t>Count</t>
  </si>
  <si>
    <t>Template Sheet to Duplicate</t>
  </si>
  <si>
    <t>Note: Please contact the xxx Team for further details</t>
  </si>
  <si>
    <t>Last updated by Volker on 01.08.2010</t>
  </si>
  <si>
    <t>CM.030</t>
  </si>
  <si>
    <t>Document Index</t>
  </si>
  <si>
    <t>Document Title</t>
  </si>
  <si>
    <t>Document Reference</t>
  </si>
  <si>
    <t>Last updated by Volker on 08.08.2010</t>
  </si>
  <si>
    <t>Area</t>
  </si>
  <si>
    <t>Status</t>
  </si>
  <si>
    <t>Created</t>
  </si>
  <si>
    <t>Task</t>
  </si>
  <si>
    <t>___/___/ DIX/ ___</t>
  </si>
  <si>
    <t>Under Review</t>
  </si>
  <si>
    <t>Doc File Name</t>
  </si>
  <si>
    <t>Internally Approved</t>
  </si>
  <si>
    <t>-</t>
  </si>
  <si>
    <t>Draft</t>
  </si>
  <si>
    <t>Pre Sales Material</t>
  </si>
  <si>
    <t>Summary</t>
  </si>
  <si>
    <t>When to use?</t>
  </si>
  <si>
    <t>Externally Approved</t>
  </si>
  <si>
    <t>Any working version</t>
  </si>
  <si>
    <t>Under internal Review</t>
  </si>
  <si>
    <t>Approved by Project Manager</t>
  </si>
  <si>
    <t>Shared with Customer</t>
  </si>
  <si>
    <t>Approved by Customer</t>
  </si>
  <si>
    <t>Just Informal Material</t>
  </si>
  <si>
    <t>Supplemental Only</t>
  </si>
  <si>
    <t>&lt;Company Name&gt;</t>
  </si>
  <si>
    <t>&lt;Subject&gt;</t>
  </si>
  <si>
    <t>&lt;Author&gt;</t>
  </si>
  <si>
    <t>&lt;Subject&gt; - Document Index</t>
  </si>
  <si>
    <t>Additional Documents shared with &lt;Company Name&gt;</t>
  </si>
  <si>
    <t>Document Statuses</t>
  </si>
  <si>
    <t>Shared for External Approval</t>
  </si>
</sst>
</file>

<file path=xl/styles.xml><?xml version="1.0" encoding="utf-8"?>
<styleSheet xmlns="http://schemas.openxmlformats.org/spreadsheetml/2006/main">
  <numFmts count="1">
    <numFmt numFmtId="188" formatCode="0.0"/>
  </numFmts>
  <fonts count="25">
    <font>
      <sz val="10"/>
      <name val="Arial"/>
    </font>
    <font>
      <sz val="9"/>
      <color indexed="61"/>
      <name val="Tahoma"/>
      <family val="2"/>
    </font>
    <font>
      <sz val="9"/>
      <color indexed="8"/>
      <name val="Arial"/>
      <family val="2"/>
    </font>
    <font>
      <sz val="9"/>
      <name val="Arial"/>
      <family val="2"/>
    </font>
    <font>
      <u/>
      <sz val="10"/>
      <color indexed="12"/>
      <name val="Arial"/>
    </font>
    <font>
      <b/>
      <u/>
      <sz val="14"/>
      <color indexed="12"/>
      <name val="Arial"/>
      <family val="2"/>
    </font>
    <font>
      <sz val="11"/>
      <color indexed="8"/>
      <name val="Arial"/>
      <family val="2"/>
    </font>
    <font>
      <sz val="8"/>
      <color indexed="81"/>
      <name val="Tahoma"/>
    </font>
    <font>
      <sz val="8"/>
      <name val="Arial"/>
      <family val="2"/>
    </font>
    <font>
      <sz val="10"/>
      <name val="Arial"/>
      <family val="2"/>
    </font>
    <font>
      <u/>
      <sz val="9"/>
      <color indexed="12"/>
      <name val="Arial"/>
      <family val="2"/>
    </font>
    <font>
      <sz val="9"/>
      <color indexed="61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9"/>
      <color indexed="56"/>
      <name val="Arial"/>
      <family val="2"/>
    </font>
    <font>
      <b/>
      <sz val="16"/>
      <name val="Arial"/>
      <family val="2"/>
    </font>
    <font>
      <b/>
      <sz val="16"/>
      <color indexed="12"/>
      <name val="Arial"/>
      <family val="2"/>
    </font>
    <font>
      <b/>
      <sz val="18"/>
      <color indexed="12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8"/>
      <color indexed="56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2"/>
      <color indexed="61"/>
      <name val="Arial"/>
      <family val="2"/>
    </font>
    <font>
      <sz val="8"/>
      <color indexed="6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/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3" fillId="2" borderId="2" xfId="0" applyNumberFormat="1" applyFont="1" applyFill="1" applyBorder="1" applyAlignment="1" applyProtection="1">
      <alignment vertical="top" wrapText="1"/>
    </xf>
    <xf numFmtId="0" fontId="3" fillId="2" borderId="3" xfId="0" applyNumberFormat="1" applyFont="1" applyFill="1" applyBorder="1" applyAlignment="1" applyProtection="1">
      <alignment vertical="top" wrapText="1"/>
    </xf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 applyProtection="1">
      <alignment horizontal="center" vertical="top" wrapText="1"/>
      <protection locked="0"/>
    </xf>
    <xf numFmtId="49" fontId="2" fillId="3" borderId="1" xfId="0" applyNumberFormat="1" applyFont="1" applyFill="1" applyBorder="1" applyAlignment="1" applyProtection="1">
      <alignment vertical="top" wrapText="1"/>
      <protection locked="0"/>
    </xf>
    <xf numFmtId="0" fontId="3" fillId="2" borderId="1" xfId="0" applyFont="1" applyFill="1" applyBorder="1" applyAlignment="1">
      <alignment vertical="top" wrapText="1"/>
    </xf>
    <xf numFmtId="0" fontId="3" fillId="2" borderId="1" xfId="0" applyNumberFormat="1" applyFont="1" applyFill="1" applyBorder="1" applyAlignment="1" applyProtection="1">
      <alignment vertical="top" wrapText="1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5" fillId="3" borderId="1" xfId="1" applyNumberFormat="1" applyFont="1" applyFill="1" applyBorder="1" applyAlignment="1" applyProtection="1">
      <alignment vertical="center" wrapText="1"/>
      <protection locked="0"/>
    </xf>
    <xf numFmtId="49" fontId="2" fillId="3" borderId="1" xfId="0" applyNumberFormat="1" applyFont="1" applyFill="1" applyBorder="1" applyAlignment="1" applyProtection="1">
      <alignment vertical="center" wrapText="1"/>
      <protection locked="0"/>
    </xf>
    <xf numFmtId="49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188" fontId="2" fillId="3" borderId="1" xfId="0" applyNumberFormat="1" applyFont="1" applyFill="1" applyBorder="1" applyAlignment="1" applyProtection="1">
      <alignment horizontal="left" vertical="center" wrapText="1"/>
      <protection locked="0"/>
    </xf>
    <xf numFmtId="188" fontId="2" fillId="3" borderId="1" xfId="0" applyNumberFormat="1" applyFont="1" applyFill="1" applyBorder="1" applyAlignment="1" applyProtection="1">
      <alignment horizontal="left" vertical="top" wrapText="1"/>
      <protection locked="0"/>
    </xf>
    <xf numFmtId="14" fontId="2" fillId="3" borderId="1" xfId="0" applyNumberFormat="1" applyFont="1" applyFill="1" applyBorder="1" applyAlignment="1" applyProtection="1">
      <alignment horizontal="center" vertical="top" wrapText="1"/>
      <protection locked="0"/>
    </xf>
    <xf numFmtId="14" fontId="2" fillId="3" borderId="1" xfId="0" applyNumberFormat="1" applyFont="1" applyFill="1" applyBorder="1" applyAlignment="1" applyProtection="1">
      <alignment horizontal="left" vertical="center" wrapText="1"/>
      <protection locked="0"/>
    </xf>
    <xf numFmtId="0" fontId="2" fillId="3" borderId="1" xfId="0" applyNumberFormat="1" applyFont="1" applyFill="1" applyBorder="1" applyAlignment="1" applyProtection="1">
      <alignment horizontal="center" vertical="top" wrapText="1"/>
      <protection locked="0"/>
    </xf>
    <xf numFmtId="0" fontId="2" fillId="3" borderId="1" xfId="0" applyNumberFormat="1" applyFont="1" applyFill="1" applyBorder="1" applyAlignment="1" applyProtection="1">
      <alignment vertical="top" wrapText="1"/>
      <protection locked="0"/>
    </xf>
    <xf numFmtId="0" fontId="3" fillId="2" borderId="1" xfId="0" applyNumberFormat="1" applyFont="1" applyFill="1" applyBorder="1" applyAlignment="1">
      <alignment vertical="top" wrapText="1"/>
    </xf>
    <xf numFmtId="0" fontId="2" fillId="3" borderId="4" xfId="0" applyNumberFormat="1" applyFont="1" applyFill="1" applyBorder="1" applyAlignment="1" applyProtection="1">
      <alignment horizontal="center" vertical="top" wrapText="1"/>
      <protection locked="0"/>
    </xf>
    <xf numFmtId="0" fontId="2" fillId="3" borderId="4" xfId="0" applyNumberFormat="1" applyFont="1" applyFill="1" applyBorder="1" applyAlignment="1" applyProtection="1">
      <alignment vertical="top" wrapText="1"/>
      <protection locked="0"/>
    </xf>
    <xf numFmtId="0" fontId="2" fillId="3" borderId="5" xfId="0" applyNumberFormat="1" applyFont="1" applyFill="1" applyBorder="1" applyAlignment="1" applyProtection="1">
      <alignment horizontal="center" vertical="top" wrapText="1"/>
      <protection locked="0"/>
    </xf>
    <xf numFmtId="0" fontId="2" fillId="3" borderId="5" xfId="0" applyNumberFormat="1" applyFont="1" applyFill="1" applyBorder="1" applyAlignment="1" applyProtection="1">
      <alignment vertical="top" wrapText="1"/>
      <protection locked="0"/>
    </xf>
    <xf numFmtId="0" fontId="8" fillId="0" borderId="0" xfId="0" applyFont="1"/>
    <xf numFmtId="49" fontId="9" fillId="0" borderId="0" xfId="0" applyNumberFormat="1" applyFont="1" applyAlignment="1">
      <alignment horizontal="center"/>
    </xf>
    <xf numFmtId="0" fontId="9" fillId="0" borderId="0" xfId="0" applyFont="1"/>
    <xf numFmtId="22" fontId="8" fillId="0" borderId="0" xfId="0" applyNumberFormat="1" applyFont="1" applyAlignment="1">
      <alignment horizontal="right"/>
    </xf>
    <xf numFmtId="0" fontId="10" fillId="2" borderId="0" xfId="1" applyFont="1" applyFill="1" applyAlignment="1" applyProtection="1"/>
    <xf numFmtId="49" fontId="11" fillId="2" borderId="0" xfId="0" applyNumberFormat="1" applyFont="1" applyFill="1" applyAlignment="1">
      <alignment horizontal="center"/>
    </xf>
    <xf numFmtId="0" fontId="11" fillId="2" borderId="0" xfId="0" applyFont="1" applyFill="1"/>
    <xf numFmtId="49" fontId="12" fillId="2" borderId="0" xfId="0" applyNumberFormat="1" applyFont="1" applyFill="1" applyAlignment="1">
      <alignment horizontal="left"/>
    </xf>
    <xf numFmtId="49" fontId="13" fillId="2" borderId="0" xfId="0" applyNumberFormat="1" applyFont="1" applyFill="1" applyAlignment="1">
      <alignment horizontal="left"/>
    </xf>
    <xf numFmtId="0" fontId="11" fillId="2" borderId="0" xfId="0" applyFont="1" applyFill="1" applyAlignment="1">
      <alignment vertical="center"/>
    </xf>
    <xf numFmtId="49" fontId="14" fillId="4" borderId="6" xfId="0" applyNumberFormat="1" applyFont="1" applyFill="1" applyBorder="1" applyAlignment="1" applyProtection="1">
      <alignment horizontal="center" vertical="center"/>
    </xf>
    <xf numFmtId="49" fontId="14" fillId="4" borderId="7" xfId="0" applyNumberFormat="1" applyFont="1" applyFill="1" applyBorder="1" applyAlignment="1" applyProtection="1">
      <alignment vertical="center"/>
    </xf>
    <xf numFmtId="49" fontId="14" fillId="4" borderId="7" xfId="0" applyNumberFormat="1" applyFont="1" applyFill="1" applyBorder="1" applyAlignment="1" applyProtection="1">
      <alignment horizontal="left" vertical="center"/>
    </xf>
    <xf numFmtId="49" fontId="14" fillId="4" borderId="8" xfId="0" applyNumberFormat="1" applyFont="1" applyFill="1" applyBorder="1" applyAlignment="1" applyProtection="1">
      <alignment vertical="center"/>
    </xf>
    <xf numFmtId="14" fontId="11" fillId="2" borderId="0" xfId="0" applyNumberFormat="1" applyFont="1" applyFill="1" applyAlignment="1">
      <alignment horizontal="center"/>
    </xf>
    <xf numFmtId="188" fontId="11" fillId="2" borderId="0" xfId="0" applyNumberFormat="1" applyFont="1" applyFill="1" applyAlignment="1">
      <alignment horizontal="left"/>
    </xf>
    <xf numFmtId="49" fontId="15" fillId="2" borderId="0" xfId="0" applyNumberFormat="1" applyFont="1" applyFill="1" applyAlignment="1">
      <alignment horizontal="left"/>
    </xf>
    <xf numFmtId="0" fontId="16" fillId="2" borderId="0" xfId="0" applyFont="1" applyFill="1"/>
    <xf numFmtId="49" fontId="17" fillId="2" borderId="0" xfId="0" applyNumberFormat="1" applyFont="1" applyFill="1" applyAlignment="1">
      <alignment horizontal="left"/>
    </xf>
    <xf numFmtId="49" fontId="14" fillId="4" borderId="6" xfId="0" applyNumberFormat="1" applyFont="1" applyFill="1" applyBorder="1" applyAlignment="1" applyProtection="1">
      <alignment horizontal="left" vertical="center"/>
    </xf>
    <xf numFmtId="49" fontId="14" fillId="4" borderId="1" xfId="0" applyNumberFormat="1" applyFont="1" applyFill="1" applyBorder="1" applyAlignment="1" applyProtection="1">
      <alignment horizontal="left" vertical="center"/>
    </xf>
    <xf numFmtId="0" fontId="18" fillId="2" borderId="0" xfId="0" applyFont="1" applyFill="1"/>
    <xf numFmtId="0" fontId="19" fillId="2" borderId="0" xfId="1" applyFont="1" applyFill="1" applyAlignment="1" applyProtection="1">
      <alignment horizontal="right"/>
    </xf>
    <xf numFmtId="0" fontId="12" fillId="2" borderId="0" xfId="0" applyNumberFormat="1" applyFont="1" applyFill="1" applyAlignment="1">
      <alignment horizontal="left"/>
    </xf>
    <xf numFmtId="0" fontId="11" fillId="2" borderId="0" xfId="0" applyFont="1" applyFill="1" applyAlignment="1">
      <alignment wrapText="1"/>
    </xf>
    <xf numFmtId="49" fontId="14" fillId="4" borderId="6" xfId="0" applyNumberFormat="1" applyFont="1" applyFill="1" applyBorder="1" applyAlignment="1" applyProtection="1">
      <alignment horizontal="center"/>
    </xf>
    <xf numFmtId="49" fontId="14" fillId="4" borderId="7" xfId="0" applyNumberFormat="1" applyFont="1" applyFill="1" applyBorder="1" applyAlignment="1" applyProtection="1"/>
    <xf numFmtId="49" fontId="14" fillId="4" borderId="9" xfId="0" applyNumberFormat="1" applyFont="1" applyFill="1" applyBorder="1" applyAlignment="1" applyProtection="1"/>
    <xf numFmtId="49" fontId="20" fillId="4" borderId="10" xfId="0" applyNumberFormat="1" applyFont="1" applyFill="1" applyBorder="1" applyAlignment="1" applyProtection="1">
      <alignment horizontal="center"/>
    </xf>
    <xf numFmtId="0" fontId="20" fillId="4" borderId="11" xfId="0" applyFont="1" applyFill="1" applyBorder="1" applyAlignment="1" applyProtection="1"/>
    <xf numFmtId="0" fontId="20" fillId="4" borderId="3" xfId="0" applyFont="1" applyFill="1" applyBorder="1" applyAlignment="1" applyProtection="1"/>
    <xf numFmtId="49" fontId="11" fillId="2" borderId="0" xfId="0" applyNumberFormat="1" applyFont="1" applyFill="1" applyAlignment="1"/>
    <xf numFmtId="0" fontId="19" fillId="2" borderId="0" xfId="1" applyFont="1" applyFill="1" applyAlignment="1" applyProtection="1"/>
    <xf numFmtId="0" fontId="11" fillId="2" borderId="0" xfId="0" applyFont="1" applyFill="1" applyAlignment="1">
      <alignment horizontal="right"/>
    </xf>
    <xf numFmtId="49" fontId="14" fillId="4" borderId="9" xfId="0" applyNumberFormat="1" applyFont="1" applyFill="1" applyBorder="1" applyAlignment="1" applyProtection="1">
      <alignment vertical="center"/>
    </xf>
    <xf numFmtId="0" fontId="21" fillId="3" borderId="1" xfId="0" applyNumberFormat="1" applyFont="1" applyFill="1" applyBorder="1" applyAlignment="1" applyProtection="1">
      <alignment horizontal="center" vertical="top" wrapText="1"/>
      <protection locked="0"/>
    </xf>
    <xf numFmtId="0" fontId="21" fillId="3" borderId="1" xfId="0" applyNumberFormat="1" applyFont="1" applyFill="1" applyBorder="1" applyAlignment="1" applyProtection="1">
      <alignment vertical="top" wrapText="1"/>
      <protection locked="0"/>
    </xf>
    <xf numFmtId="0" fontId="21" fillId="0" borderId="1" xfId="0" applyNumberFormat="1" applyFont="1" applyFill="1" applyBorder="1" applyAlignment="1" applyProtection="1">
      <alignment vertical="top" wrapText="1"/>
      <protection locked="0"/>
    </xf>
    <xf numFmtId="0" fontId="21" fillId="0" borderId="1" xfId="0" applyNumberFormat="1" applyFont="1" applyFill="1" applyBorder="1" applyAlignment="1" applyProtection="1">
      <alignment horizontal="center" vertical="top" wrapText="1"/>
      <protection locked="0"/>
    </xf>
    <xf numFmtId="0" fontId="1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21" fillId="3" borderId="1" xfId="0" applyNumberFormat="1" applyFont="1" applyFill="1" applyBorder="1" applyAlignment="1" applyProtection="1">
      <alignment horizontal="center" vertical="top" wrapText="1"/>
      <protection locked="0"/>
    </xf>
    <xf numFmtId="49" fontId="2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1" xfId="0" applyNumberFormat="1" applyFont="1" applyFill="1" applyBorder="1" applyAlignment="1" applyProtection="1">
      <alignment vertical="top" wrapText="1"/>
      <protection locked="0"/>
    </xf>
    <xf numFmtId="0" fontId="9" fillId="2" borderId="1" xfId="0" applyNumberFormat="1" applyFont="1" applyFill="1" applyBorder="1" applyAlignment="1" applyProtection="1">
      <alignment vertical="top" wrapText="1"/>
    </xf>
    <xf numFmtId="0" fontId="9" fillId="2" borderId="1" xfId="0" applyNumberFormat="1" applyFont="1" applyFill="1" applyBorder="1" applyAlignment="1">
      <alignment vertical="top" wrapText="1"/>
    </xf>
    <xf numFmtId="0" fontId="22" fillId="3" borderId="1" xfId="0" applyNumberFormat="1" applyFont="1" applyFill="1" applyBorder="1" applyAlignment="1" applyProtection="1">
      <alignment horizontal="center" vertical="top" wrapText="1"/>
      <protection locked="0"/>
    </xf>
    <xf numFmtId="49" fontId="22" fillId="3" borderId="4" xfId="0" applyNumberFormat="1" applyFont="1" applyFill="1" applyBorder="1" applyAlignment="1" applyProtection="1">
      <alignment horizontal="center" vertical="top" wrapText="1"/>
      <protection locked="0"/>
    </xf>
    <xf numFmtId="49" fontId="22" fillId="3" borderId="4" xfId="0" applyNumberFormat="1" applyFont="1" applyFill="1" applyBorder="1" applyAlignment="1" applyProtection="1">
      <alignment vertical="top" wrapText="1"/>
      <protection locked="0"/>
    </xf>
    <xf numFmtId="0" fontId="9" fillId="2" borderId="3" xfId="0" applyNumberFormat="1" applyFont="1" applyFill="1" applyBorder="1" applyAlignment="1" applyProtection="1">
      <alignment vertical="top" wrapText="1"/>
    </xf>
    <xf numFmtId="0" fontId="0" fillId="2" borderId="0" xfId="0" applyFill="1"/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49" fontId="23" fillId="2" borderId="0" xfId="0" applyNumberFormat="1" applyFont="1" applyFill="1" applyAlignment="1">
      <alignment horizontal="left"/>
    </xf>
    <xf numFmtId="14" fontId="21" fillId="3" borderId="1" xfId="0" applyNumberFormat="1" applyFont="1" applyFill="1" applyBorder="1" applyAlignment="1" applyProtection="1">
      <alignment horizontal="center" vertical="top" wrapText="1"/>
      <protection locked="0"/>
    </xf>
    <xf numFmtId="17" fontId="21" fillId="3" borderId="1" xfId="0" applyNumberFormat="1" applyFont="1" applyFill="1" applyBorder="1" applyAlignment="1" applyProtection="1">
      <alignment horizontal="center" vertical="top" wrapText="1"/>
      <protection locked="0"/>
    </xf>
    <xf numFmtId="49" fontId="14" fillId="4" borderId="12" xfId="0" applyNumberFormat="1" applyFont="1" applyFill="1" applyBorder="1" applyAlignment="1" applyProtection="1">
      <alignment horizontal="center" vertical="center"/>
    </xf>
    <xf numFmtId="49" fontId="14" fillId="4" borderId="13" xfId="0" applyNumberFormat="1" applyFont="1" applyFill="1" applyBorder="1" applyAlignment="1" applyProtection="1">
      <alignment horizontal="center" vertical="center"/>
    </xf>
    <xf numFmtId="49" fontId="14" fillId="4" borderId="13" xfId="0" applyNumberFormat="1" applyFont="1" applyFill="1" applyBorder="1" applyAlignment="1" applyProtection="1">
      <alignment vertical="center"/>
    </xf>
    <xf numFmtId="49" fontId="24" fillId="2" borderId="0" xfId="0" applyNumberFormat="1" applyFont="1" applyFill="1" applyAlignment="1"/>
    <xf numFmtId="0" fontId="4" fillId="3" borderId="1" xfId="1" applyNumberFormat="1" applyFont="1" applyFill="1" applyBorder="1" applyAlignment="1" applyProtection="1">
      <alignment vertical="center" wrapText="1"/>
      <protection locked="0"/>
    </xf>
    <xf numFmtId="14" fontId="8" fillId="0" borderId="0" xfId="0" applyNumberFormat="1" applyFont="1" applyAlignment="1">
      <alignment horizontal="right"/>
    </xf>
    <xf numFmtId="22" fontId="8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E6EFF8"/>
      <rgbColor rgb="00FFFFFF"/>
      <rgbColor rgb="00000000"/>
      <rgbColor rgb="0048648C"/>
      <rgbColor rgb="00C9C9CB"/>
      <rgbColor rgb="00A3C2DF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27</xdr:row>
      <xdr:rowOff>123825</xdr:rowOff>
    </xdr:from>
    <xdr:to>
      <xdr:col>3</xdr:col>
      <xdr:colOff>352425</xdr:colOff>
      <xdr:row>30</xdr:row>
      <xdr:rowOff>9525</xdr:rowOff>
    </xdr:to>
    <xdr:pic>
      <xdr:nvPicPr>
        <xdr:cNvPr id="2069" name="Picture 2" descr="oracle-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3400" y="8248650"/>
          <a:ext cx="178117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3019425</xdr:colOff>
      <xdr:row>8</xdr:row>
      <xdr:rowOff>285750</xdr:rowOff>
    </xdr:to>
    <xdr:pic>
      <xdr:nvPicPr>
        <xdr:cNvPr id="207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23875" y="1295400"/>
          <a:ext cx="4457700" cy="2857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7"/>
  <dimension ref="A1:F32"/>
  <sheetViews>
    <sheetView tabSelected="1" workbookViewId="0"/>
  </sheetViews>
  <sheetFormatPr defaultRowHeight="12.75"/>
  <cols>
    <col min="1" max="1" width="4.140625" customWidth="1"/>
    <col min="2" max="2" width="3.7109375" style="3" customWidth="1"/>
    <col min="3" max="3" width="21.5703125" customWidth="1"/>
    <col min="4" max="4" width="47.7109375" customWidth="1"/>
    <col min="5" max="6" width="5.28515625" customWidth="1"/>
  </cols>
  <sheetData>
    <row r="1" spans="1:6">
      <c r="A1" s="24" t="str">
        <f>Title</f>
        <v>Document Index</v>
      </c>
      <c r="B1" s="25"/>
      <c r="C1" s="26"/>
      <c r="D1" s="86" t="str">
        <f>Document_Ref</f>
        <v>___/___/ DIX/ ___</v>
      </c>
      <c r="E1" s="86"/>
      <c r="F1" s="86"/>
    </row>
    <row r="2" spans="1:6">
      <c r="A2" s="24"/>
      <c r="B2" s="25"/>
      <c r="C2" s="26"/>
      <c r="D2" s="26"/>
      <c r="E2" s="85">
        <f ca="1">NOW()</f>
        <v>41915.761279282407</v>
      </c>
      <c r="F2" s="85"/>
    </row>
    <row r="3" spans="1:6">
      <c r="A3" s="28"/>
      <c r="B3" s="29"/>
      <c r="C3" s="30"/>
      <c r="D3" s="30"/>
      <c r="E3" s="30"/>
      <c r="F3" s="30"/>
    </row>
    <row r="4" spans="1:6">
      <c r="A4" s="28"/>
      <c r="B4" s="29"/>
      <c r="C4" s="30"/>
      <c r="D4" s="30"/>
      <c r="E4" s="30"/>
      <c r="F4" s="30"/>
    </row>
    <row r="5" spans="1:6">
      <c r="A5" s="28"/>
      <c r="B5" s="29"/>
      <c r="C5" s="30"/>
      <c r="D5" s="30"/>
      <c r="E5" s="30"/>
      <c r="F5" s="30"/>
    </row>
    <row r="6" spans="1:6">
      <c r="A6" s="28"/>
      <c r="B6" s="29"/>
      <c r="C6" s="30"/>
      <c r="D6" s="30"/>
      <c r="E6" s="30"/>
      <c r="F6" s="30"/>
    </row>
    <row r="7" spans="1:6">
      <c r="A7" s="28"/>
      <c r="B7" s="29"/>
      <c r="C7" s="30"/>
      <c r="D7" s="30"/>
      <c r="E7" s="30"/>
      <c r="F7" s="30"/>
    </row>
    <row r="8" spans="1:6">
      <c r="A8" s="28"/>
      <c r="B8" s="29"/>
      <c r="C8" s="30"/>
      <c r="D8" s="30"/>
      <c r="E8" s="30"/>
      <c r="F8" s="30"/>
    </row>
    <row r="9" spans="1:6" ht="23.25">
      <c r="A9" s="30"/>
      <c r="B9" s="31"/>
      <c r="C9" s="30"/>
      <c r="D9" s="30"/>
      <c r="E9" s="30"/>
      <c r="F9" s="30"/>
    </row>
    <row r="10" spans="1:6" ht="23.25">
      <c r="A10" s="30"/>
      <c r="B10" s="31"/>
      <c r="C10" s="31" t="s">
        <v>26</v>
      </c>
      <c r="D10" s="30"/>
      <c r="E10" s="30"/>
      <c r="F10" s="30"/>
    </row>
    <row r="11" spans="1:6" ht="23.25">
      <c r="A11" s="30"/>
      <c r="B11" s="31"/>
      <c r="C11" s="40" t="s">
        <v>43</v>
      </c>
      <c r="D11" s="41" t="s">
        <v>44</v>
      </c>
      <c r="E11" s="30"/>
      <c r="F11" s="30"/>
    </row>
    <row r="12" spans="1:6" ht="23.25">
      <c r="A12" s="30"/>
      <c r="B12" s="31"/>
      <c r="C12" s="31"/>
      <c r="D12" s="30"/>
      <c r="E12" s="30"/>
      <c r="F12" s="30"/>
    </row>
    <row r="13" spans="1:6" ht="23.25">
      <c r="A13" s="30"/>
      <c r="B13" s="31"/>
      <c r="C13" s="42" t="s">
        <v>69</v>
      </c>
      <c r="D13" s="30"/>
      <c r="E13" s="30"/>
      <c r="F13" s="30"/>
    </row>
    <row r="14" spans="1:6" ht="23.25">
      <c r="A14" s="30"/>
      <c r="B14" s="31"/>
      <c r="C14" s="42" t="s">
        <v>70</v>
      </c>
      <c r="D14" s="30"/>
      <c r="E14" s="30"/>
      <c r="F14" s="30"/>
    </row>
    <row r="15" spans="1:6" ht="109.15" customHeight="1">
      <c r="A15" s="30"/>
      <c r="B15" s="31"/>
      <c r="C15" s="30"/>
      <c r="D15" s="30"/>
      <c r="E15" s="30"/>
      <c r="F15" s="30"/>
    </row>
    <row r="16" spans="1:6" ht="17.45" customHeight="1">
      <c r="A16" s="30"/>
      <c r="B16" s="31"/>
      <c r="C16" s="43" t="s">
        <v>27</v>
      </c>
      <c r="D16" s="11" t="s">
        <v>71</v>
      </c>
      <c r="E16" s="30"/>
      <c r="F16" s="30"/>
    </row>
    <row r="17" spans="1:6" ht="17.45" customHeight="1">
      <c r="A17" s="30"/>
      <c r="B17" s="31"/>
      <c r="C17" s="43" t="s">
        <v>28</v>
      </c>
      <c r="D17" s="16">
        <f>MIN(ChangeDate)</f>
        <v>40179</v>
      </c>
      <c r="E17" s="30"/>
      <c r="F17" s="30"/>
    </row>
    <row r="18" spans="1:6" ht="17.45" customHeight="1">
      <c r="A18" s="30"/>
      <c r="B18" s="31"/>
      <c r="C18" s="43" t="s">
        <v>29</v>
      </c>
      <c r="D18" s="16">
        <f>MAX(ChangeDate)</f>
        <v>40179</v>
      </c>
      <c r="E18" s="30"/>
      <c r="F18" s="30"/>
    </row>
    <row r="19" spans="1:6" ht="17.45" customHeight="1">
      <c r="A19" s="30"/>
      <c r="B19" s="31"/>
      <c r="C19" s="43" t="s">
        <v>30</v>
      </c>
      <c r="D19" s="11" t="s">
        <v>52</v>
      </c>
      <c r="E19" s="30"/>
      <c r="F19" s="30"/>
    </row>
    <row r="20" spans="1:6" ht="17.45" customHeight="1">
      <c r="A20" s="30"/>
      <c r="B20" s="31"/>
      <c r="C20" s="44" t="s">
        <v>31</v>
      </c>
      <c r="D20" s="13" t="str">
        <f>SUBSTITUTE(MAX('Document Control'!D10:D14),",",".")</f>
        <v>0.1</v>
      </c>
      <c r="E20" s="30"/>
      <c r="F20" s="30"/>
    </row>
    <row r="21" spans="1:6" ht="71.45" customHeight="1">
      <c r="A21" s="30"/>
      <c r="B21" s="31"/>
      <c r="C21" s="30"/>
      <c r="D21" s="30"/>
      <c r="E21" s="30"/>
      <c r="F21" s="30"/>
    </row>
    <row r="22" spans="1:6" ht="23.25">
      <c r="A22" s="30"/>
      <c r="B22" s="31"/>
      <c r="C22" s="45" t="s">
        <v>32</v>
      </c>
      <c r="D22" s="30"/>
      <c r="E22" s="30"/>
      <c r="F22" s="30"/>
    </row>
    <row r="23" spans="1:6" s="8" customFormat="1" ht="26.45" customHeight="1">
      <c r="A23" s="33"/>
      <c r="B23" s="31"/>
      <c r="C23" s="43" t="s">
        <v>35</v>
      </c>
      <c r="D23" s="37" t="s">
        <v>36</v>
      </c>
      <c r="E23" s="33"/>
      <c r="F23" s="33"/>
    </row>
    <row r="24" spans="1:6" ht="23.25">
      <c r="A24" s="30"/>
      <c r="B24" s="31"/>
      <c r="C24" s="11" t="s">
        <v>33</v>
      </c>
      <c r="D24" s="11"/>
      <c r="E24" s="30"/>
      <c r="F24" s="30"/>
    </row>
    <row r="25" spans="1:6" ht="23.25">
      <c r="A25" s="30"/>
      <c r="B25" s="31"/>
      <c r="C25" s="11" t="s">
        <v>34</v>
      </c>
      <c r="D25" s="11"/>
      <c r="E25" s="30"/>
      <c r="F25" s="30"/>
    </row>
    <row r="26" spans="1:6" ht="23.25">
      <c r="A26" s="30"/>
      <c r="B26" s="31"/>
      <c r="C26" s="5"/>
      <c r="D26" s="5"/>
      <c r="E26" s="30"/>
      <c r="F26" s="30"/>
    </row>
    <row r="27" spans="1:6">
      <c r="A27" s="30"/>
      <c r="B27" s="29"/>
      <c r="C27" s="30"/>
      <c r="D27" s="30"/>
      <c r="E27" s="46"/>
      <c r="F27" s="46"/>
    </row>
    <row r="28" spans="1:6">
      <c r="A28" s="30"/>
      <c r="B28" s="29"/>
      <c r="C28" s="30"/>
      <c r="D28" s="30"/>
      <c r="E28" s="46"/>
      <c r="F28" s="46"/>
    </row>
    <row r="29" spans="1:6">
      <c r="A29" s="30"/>
      <c r="B29" s="29"/>
      <c r="C29" s="30"/>
      <c r="D29" s="30"/>
      <c r="E29" s="46"/>
      <c r="F29" s="46"/>
    </row>
    <row r="30" spans="1:6">
      <c r="A30" s="30"/>
      <c r="B30" s="29"/>
      <c r="C30" s="30"/>
      <c r="D30" s="30"/>
      <c r="E30" s="46"/>
      <c r="F30" s="46"/>
    </row>
    <row r="31" spans="1:6">
      <c r="A31" s="30"/>
      <c r="B31" s="29"/>
      <c r="C31" s="30"/>
      <c r="D31" s="30"/>
      <c r="E31" s="46"/>
      <c r="F31" s="46"/>
    </row>
    <row r="32" spans="1:6">
      <c r="A32" s="30"/>
      <c r="B32" s="29"/>
      <c r="C32" s="30"/>
      <c r="D32" s="30"/>
      <c r="E32" s="46"/>
      <c r="F32" s="46"/>
    </row>
  </sheetData>
  <mergeCells count="2">
    <mergeCell ref="E2:F2"/>
    <mergeCell ref="D1:F1"/>
  </mergeCells>
  <phoneticPr fontId="1" type="noConversion"/>
  <pageMargins left="0.74803149606299213" right="0.74803149606299213" top="0.66" bottom="0.98425196850393704" header="0.51181102362204722" footer="0.51181102362204722"/>
  <pageSetup paperSize="9" fitToHeight="0" orientation="portrait" blackAndWhite="1" horizontalDpi="4294967293" r:id="rId1"/>
  <headerFooter alignWithMargins="0">
    <oddFooter>&amp;L&amp;8File Ref: &amp;F&amp;R&amp;8&amp;A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8">
    <pageSetUpPr fitToPage="1"/>
  </sheetPr>
  <dimension ref="A1:F24"/>
  <sheetViews>
    <sheetView topLeftCell="A3" zoomScaleNormal="100" workbookViewId="0">
      <selection activeCell="B34" sqref="B34"/>
    </sheetView>
  </sheetViews>
  <sheetFormatPr defaultRowHeight="12.75"/>
  <cols>
    <col min="1" max="1" width="4.140625" customWidth="1"/>
    <col min="2" max="2" width="9.5703125" style="3" customWidth="1"/>
    <col min="3" max="4" width="21.5703125" customWidth="1"/>
    <col min="5" max="5" width="33.85546875" customWidth="1"/>
    <col min="6" max="6" width="4.28515625" customWidth="1"/>
  </cols>
  <sheetData>
    <row r="1" spans="1:6">
      <c r="A1" s="24" t="str">
        <f>Title</f>
        <v>Document Index</v>
      </c>
      <c r="B1" s="25"/>
      <c r="C1" s="26"/>
      <c r="D1" s="26"/>
      <c r="E1" s="26"/>
      <c r="F1" s="27" t="str">
        <f>Document_Ref</f>
        <v>___/___/ DIX/ ___</v>
      </c>
    </row>
    <row r="2" spans="1:6">
      <c r="A2" s="24"/>
      <c r="B2" s="25"/>
      <c r="C2" s="26"/>
      <c r="D2" s="26"/>
      <c r="E2" s="85">
        <f ca="1">NOW()</f>
        <v>41915.761279282407</v>
      </c>
      <c r="F2" s="85"/>
    </row>
    <row r="3" spans="1:6">
      <c r="A3" s="28"/>
      <c r="B3" s="29"/>
      <c r="C3" s="30"/>
      <c r="D3" s="30"/>
      <c r="E3" s="30"/>
      <c r="F3" s="30"/>
    </row>
    <row r="4" spans="1:6">
      <c r="A4" s="28"/>
      <c r="B4" s="29"/>
      <c r="C4" s="30"/>
      <c r="D4" s="30"/>
      <c r="E4" s="30"/>
      <c r="F4" s="30"/>
    </row>
    <row r="5" spans="1:6" ht="23.25">
      <c r="A5" s="28"/>
      <c r="B5" s="31" t="s">
        <v>16</v>
      </c>
      <c r="C5" s="30"/>
      <c r="D5" s="30"/>
      <c r="E5" s="30"/>
      <c r="F5" s="30"/>
    </row>
    <row r="6" spans="1:6">
      <c r="A6" s="28"/>
      <c r="B6" s="29"/>
      <c r="C6" s="30"/>
      <c r="D6" s="30"/>
      <c r="E6" s="30"/>
      <c r="F6" s="30"/>
    </row>
    <row r="7" spans="1:6" ht="18">
      <c r="A7" s="30"/>
      <c r="B7" s="32" t="s">
        <v>15</v>
      </c>
      <c r="C7" s="30"/>
      <c r="D7" s="30"/>
      <c r="E7" s="30"/>
      <c r="F7" s="30"/>
    </row>
    <row r="8" spans="1:6" ht="10.15" customHeight="1">
      <c r="A8" s="30"/>
      <c r="B8" s="32"/>
      <c r="C8" s="30"/>
      <c r="D8" s="30"/>
      <c r="E8" s="30"/>
      <c r="F8" s="30"/>
    </row>
    <row r="9" spans="1:6" s="8" customFormat="1" ht="26.45" customHeight="1">
      <c r="A9" s="33"/>
      <c r="B9" s="34" t="s">
        <v>17</v>
      </c>
      <c r="C9" s="35" t="s">
        <v>18</v>
      </c>
      <c r="D9" s="36" t="s">
        <v>19</v>
      </c>
      <c r="E9" s="37" t="s">
        <v>20</v>
      </c>
      <c r="F9" s="33"/>
    </row>
    <row r="10" spans="1:6">
      <c r="A10" s="30"/>
      <c r="B10" s="15">
        <v>40179</v>
      </c>
      <c r="C10" s="5" t="s">
        <v>71</v>
      </c>
      <c r="D10" s="14">
        <v>0.1</v>
      </c>
      <c r="E10" s="5" t="s">
        <v>50</v>
      </c>
      <c r="F10" s="30"/>
    </row>
    <row r="11" spans="1:6">
      <c r="A11" s="30"/>
      <c r="B11" s="15"/>
      <c r="C11" s="5"/>
      <c r="D11" s="14"/>
      <c r="E11" s="5"/>
      <c r="F11" s="30"/>
    </row>
    <row r="12" spans="1:6">
      <c r="A12" s="30"/>
      <c r="B12" s="15"/>
      <c r="C12" s="5"/>
      <c r="D12" s="14"/>
      <c r="E12" s="5"/>
      <c r="F12" s="30"/>
    </row>
    <row r="13" spans="1:6">
      <c r="A13" s="30"/>
      <c r="B13" s="15"/>
      <c r="C13" s="5"/>
      <c r="D13" s="14"/>
      <c r="E13" s="5"/>
      <c r="F13" s="30"/>
    </row>
    <row r="14" spans="1:6">
      <c r="A14" s="30"/>
      <c r="B14" s="38"/>
      <c r="C14" s="30"/>
      <c r="D14" s="39"/>
      <c r="E14" s="30"/>
      <c r="F14" s="30"/>
    </row>
    <row r="15" spans="1:6">
      <c r="A15" s="30"/>
      <c r="B15" s="29"/>
      <c r="C15" s="30"/>
      <c r="D15" s="30"/>
      <c r="E15" s="30"/>
      <c r="F15" s="30"/>
    </row>
    <row r="16" spans="1:6" ht="18" customHeight="1">
      <c r="A16" s="30"/>
      <c r="B16" s="32" t="s">
        <v>21</v>
      </c>
      <c r="C16" s="30"/>
      <c r="D16" s="30"/>
      <c r="E16" s="30"/>
      <c r="F16" s="30"/>
    </row>
    <row r="17" spans="1:6" ht="11.45" customHeight="1">
      <c r="A17" s="30"/>
      <c r="B17" s="32"/>
      <c r="C17" s="30"/>
      <c r="D17" s="30"/>
      <c r="E17" s="30"/>
      <c r="F17" s="30"/>
    </row>
    <row r="18" spans="1:6" s="8" customFormat="1" ht="26.45" customHeight="1">
      <c r="A18" s="33"/>
      <c r="B18" s="34" t="s">
        <v>1</v>
      </c>
      <c r="C18" s="35" t="s">
        <v>22</v>
      </c>
      <c r="D18" s="35" t="s">
        <v>23</v>
      </c>
      <c r="E18" s="37" t="s">
        <v>24</v>
      </c>
      <c r="F18" s="33"/>
    </row>
    <row r="19" spans="1:6">
      <c r="A19" s="30"/>
      <c r="B19" s="4"/>
      <c r="C19" s="5"/>
      <c r="D19" s="5"/>
      <c r="E19" s="6"/>
      <c r="F19" s="30"/>
    </row>
    <row r="20" spans="1:6">
      <c r="A20" s="30"/>
      <c r="B20" s="4"/>
      <c r="C20" s="5"/>
      <c r="D20" s="5"/>
      <c r="E20" s="6"/>
      <c r="F20" s="30"/>
    </row>
    <row r="21" spans="1:6">
      <c r="A21" s="30"/>
      <c r="B21" s="4"/>
      <c r="C21" s="5"/>
      <c r="D21" s="5"/>
      <c r="E21" s="6"/>
      <c r="F21" s="30"/>
    </row>
    <row r="22" spans="1:6">
      <c r="A22" s="30"/>
      <c r="B22" s="4"/>
      <c r="C22" s="5"/>
      <c r="D22" s="5"/>
      <c r="E22" s="6"/>
      <c r="F22" s="30"/>
    </row>
    <row r="23" spans="1:6">
      <c r="A23" s="28"/>
      <c r="B23" s="29"/>
      <c r="C23" s="30"/>
      <c r="D23" s="30"/>
      <c r="E23" s="30"/>
      <c r="F23" s="30"/>
    </row>
    <row r="24" spans="1:6">
      <c r="A24" s="28"/>
      <c r="B24" s="29"/>
      <c r="C24" s="30"/>
      <c r="D24" s="30"/>
      <c r="E24" s="30"/>
      <c r="F24" s="30"/>
    </row>
  </sheetData>
  <mergeCells count="1">
    <mergeCell ref="E2:F2"/>
  </mergeCells>
  <phoneticPr fontId="1" type="noConversion"/>
  <pageMargins left="0.74803149606299213" right="0.74803149606299213" top="0.53" bottom="0.98425196850393704" header="0.51181102362204722" footer="0.51181102362204722"/>
  <pageSetup paperSize="9" scale="92" fitToHeight="0" orientation="portrait" blackAndWhite="1" horizontalDpi="4294967293" r:id="rId1"/>
  <headerFooter alignWithMargins="0">
    <oddFooter>&amp;L&amp;7File Ref: &amp;F&amp;R&amp;8&amp;A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E18"/>
  <sheetViews>
    <sheetView workbookViewId="0">
      <selection activeCell="C8" sqref="C8"/>
    </sheetView>
  </sheetViews>
  <sheetFormatPr defaultColWidth="11.5703125" defaultRowHeight="12.75"/>
  <cols>
    <col min="1" max="1" width="2.85546875" customWidth="1"/>
    <col min="2" max="2" width="4" customWidth="1"/>
    <col min="3" max="3" width="47.85546875" customWidth="1"/>
    <col min="4" max="4" width="30" customWidth="1"/>
    <col min="5" max="5" width="5" customWidth="1"/>
  </cols>
  <sheetData>
    <row r="1" spans="1:5">
      <c r="A1" s="24" t="str">
        <f>Title</f>
        <v>Document Index</v>
      </c>
      <c r="B1" s="25"/>
      <c r="C1" s="26"/>
      <c r="D1" s="26"/>
      <c r="E1" s="27" t="str">
        <f>Document_Ref</f>
        <v>___/___/ DIX/ ___</v>
      </c>
    </row>
    <row r="2" spans="1:5">
      <c r="A2" s="24"/>
      <c r="B2" s="25"/>
      <c r="C2" s="26"/>
      <c r="D2" s="85">
        <f ca="1">NOW()</f>
        <v>41915.761279282407</v>
      </c>
      <c r="E2" s="85"/>
    </row>
    <row r="3" spans="1:5">
      <c r="A3" s="30"/>
      <c r="B3" s="29"/>
      <c r="C3" s="30"/>
      <c r="D3" s="30"/>
      <c r="E3" s="30"/>
    </row>
    <row r="4" spans="1:5" ht="23.25">
      <c r="A4" s="30"/>
      <c r="B4" s="47" t="str">
        <f>Subject&amp;" - Contents"</f>
        <v>&lt;Subject&gt; - Contents</v>
      </c>
      <c r="C4" s="30"/>
      <c r="D4" s="48"/>
      <c r="E4" s="30"/>
    </row>
    <row r="5" spans="1:5">
      <c r="A5" s="30"/>
      <c r="B5" s="29"/>
      <c r="C5" s="30"/>
      <c r="D5" s="30"/>
      <c r="E5" s="30"/>
    </row>
    <row r="6" spans="1:5">
      <c r="A6" s="30"/>
      <c r="B6" s="49" t="s">
        <v>1</v>
      </c>
      <c r="C6" s="50" t="s">
        <v>37</v>
      </c>
      <c r="D6" s="51" t="s">
        <v>2</v>
      </c>
      <c r="E6" s="30"/>
    </row>
    <row r="7" spans="1:5" ht="10.15" customHeight="1">
      <c r="A7" s="30"/>
      <c r="B7" s="52"/>
      <c r="C7" s="53"/>
      <c r="D7" s="54"/>
      <c r="E7" s="30"/>
    </row>
    <row r="8" spans="1:5" s="8" customFormat="1" ht="24" customHeight="1">
      <c r="A8" s="33"/>
      <c r="B8" s="12" t="s">
        <v>3</v>
      </c>
      <c r="C8" s="84" t="s">
        <v>59</v>
      </c>
      <c r="D8" s="9"/>
      <c r="E8" s="33"/>
    </row>
    <row r="9" spans="1:5" s="8" customFormat="1" ht="27" customHeight="1">
      <c r="A9" s="33"/>
      <c r="B9" s="12" t="s">
        <v>4</v>
      </c>
      <c r="C9" s="84" t="s">
        <v>44</v>
      </c>
      <c r="D9" s="9"/>
      <c r="E9" s="33"/>
    </row>
    <row r="10" spans="1:5" s="8" customFormat="1" ht="27" customHeight="1">
      <c r="A10" s="33"/>
      <c r="B10" s="12" t="s">
        <v>6</v>
      </c>
      <c r="C10" s="10"/>
      <c r="D10" s="9"/>
      <c r="E10" s="33"/>
    </row>
    <row r="11" spans="1:5" s="8" customFormat="1" ht="27" customHeight="1">
      <c r="A11" s="33"/>
      <c r="B11" s="12" t="s">
        <v>7</v>
      </c>
      <c r="C11" s="10"/>
      <c r="D11" s="9"/>
      <c r="E11" s="33"/>
    </row>
    <row r="12" spans="1:5" s="8" customFormat="1" ht="27" customHeight="1">
      <c r="A12" s="33"/>
      <c r="B12" s="12" t="s">
        <v>8</v>
      </c>
      <c r="C12" s="10"/>
      <c r="D12" s="9"/>
      <c r="E12" s="33"/>
    </row>
    <row r="13" spans="1:5" s="8" customFormat="1" ht="27" customHeight="1">
      <c r="A13" s="33"/>
      <c r="B13" s="12" t="s">
        <v>9</v>
      </c>
      <c r="C13" s="10"/>
      <c r="D13" s="9"/>
      <c r="E13" s="33"/>
    </row>
    <row r="14" spans="1:5" s="8" customFormat="1" ht="27" customHeight="1">
      <c r="A14" s="33"/>
      <c r="B14" s="12" t="s">
        <v>10</v>
      </c>
      <c r="C14" s="10"/>
      <c r="D14" s="9"/>
      <c r="E14" s="33"/>
    </row>
    <row r="15" spans="1:5" s="8" customFormat="1" ht="27" customHeight="1">
      <c r="A15" s="33"/>
      <c r="B15" s="12" t="s">
        <v>12</v>
      </c>
      <c r="C15" s="10"/>
      <c r="D15" s="9"/>
      <c r="E15" s="33"/>
    </row>
    <row r="16" spans="1:5">
      <c r="A16" s="30"/>
      <c r="B16" s="55" t="s">
        <v>11</v>
      </c>
      <c r="C16" s="30"/>
      <c r="D16" s="30"/>
      <c r="E16" s="30"/>
    </row>
    <row r="17" spans="1:5">
      <c r="A17" s="30"/>
      <c r="B17" s="55"/>
      <c r="C17" s="30"/>
      <c r="D17" s="30"/>
      <c r="E17" s="30"/>
    </row>
    <row r="18" spans="1:5">
      <c r="A18" s="30"/>
      <c r="B18" s="29"/>
      <c r="C18" s="30"/>
      <c r="D18" s="30"/>
      <c r="E18" s="30"/>
    </row>
  </sheetData>
  <mergeCells count="1">
    <mergeCell ref="D2:E2"/>
  </mergeCells>
  <phoneticPr fontId="0" type="noConversion"/>
  <hyperlinks>
    <hyperlink ref="C9" location="'Document Index'!A1" display="Step 2 - Sheet 2"/>
    <hyperlink ref="C8" location="Summary!A1" display="Step 1 - Sheet 1"/>
  </hyperlinks>
  <pageMargins left="0.74803149606299213" right="0.74803149606299213" top="0.54" bottom="0.79" header="0.51181102362204722" footer="0.41"/>
  <pageSetup paperSize="9" scale="98" orientation="portrait" blackAndWhite="1" horizontalDpi="300" r:id="rId1"/>
  <headerFooter alignWithMargins="0">
    <oddFooter>&amp;L&amp;8File Ref: &amp;F
.&amp;R&amp;8&amp;A
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9">
    <pageSetUpPr fitToPage="1"/>
  </sheetPr>
  <dimension ref="A1:F15"/>
  <sheetViews>
    <sheetView workbookViewId="0">
      <selection activeCell="E1" sqref="E1"/>
    </sheetView>
  </sheetViews>
  <sheetFormatPr defaultRowHeight="12.75"/>
  <cols>
    <col min="1" max="1" width="4.140625" customWidth="1"/>
    <col min="2" max="2" width="3.7109375" style="3" customWidth="1"/>
    <col min="3" max="3" width="51.140625" customWidth="1"/>
    <col min="4" max="4" width="5.5703125" bestFit="1" customWidth="1"/>
    <col min="5" max="5" width="37" customWidth="1"/>
    <col min="6" max="6" width="4.28515625" customWidth="1"/>
  </cols>
  <sheetData>
    <row r="1" spans="1:6">
      <c r="A1" s="56"/>
      <c r="B1" s="29"/>
      <c r="C1" s="30"/>
      <c r="D1" s="30"/>
      <c r="E1" s="57"/>
      <c r="F1" s="30"/>
    </row>
    <row r="2" spans="1:6" ht="23.25">
      <c r="A2" s="30"/>
      <c r="B2" s="47" t="str">
        <f>Subject&amp;" - Document Index Summary"</f>
        <v>&lt;Subject&gt; - Document Index Summary</v>
      </c>
      <c r="C2" s="30"/>
      <c r="D2" s="30"/>
      <c r="E2" s="30"/>
      <c r="F2" s="30"/>
    </row>
    <row r="3" spans="1:6">
      <c r="A3" s="30"/>
      <c r="B3" s="29"/>
      <c r="C3" s="30"/>
      <c r="D3" s="30"/>
      <c r="E3" s="46"/>
      <c r="F3" s="30"/>
    </row>
    <row r="4" spans="1:6" s="8" customFormat="1" ht="26.45" customHeight="1">
      <c r="A4" s="33"/>
      <c r="B4" s="34" t="s">
        <v>1</v>
      </c>
      <c r="C4" s="35" t="s">
        <v>38</v>
      </c>
      <c r="D4" s="35" t="s">
        <v>39</v>
      </c>
      <c r="E4" s="58" t="s">
        <v>24</v>
      </c>
      <c r="F4" s="33"/>
    </row>
    <row r="5" spans="1:6">
      <c r="A5" s="30"/>
      <c r="B5" s="66">
        <f t="shared" ref="B5:B10" si="0">ROW()-ROW($B$4)</f>
        <v>1</v>
      </c>
      <c r="C5" s="67"/>
      <c r="D5" s="67">
        <f>MAX(DocNumbers)</f>
        <v>21</v>
      </c>
      <c r="E5" s="68"/>
      <c r="F5" s="30"/>
    </row>
    <row r="6" spans="1:6">
      <c r="A6" s="30"/>
      <c r="B6" s="66">
        <f t="shared" si="0"/>
        <v>2</v>
      </c>
      <c r="C6" s="67"/>
      <c r="D6" s="67">
        <f>COUNTIF(DocStatus,"Draft")</f>
        <v>0</v>
      </c>
      <c r="E6" s="69"/>
      <c r="F6" s="30"/>
    </row>
    <row r="7" spans="1:6">
      <c r="A7" s="30"/>
      <c r="B7" s="66">
        <f t="shared" si="0"/>
        <v>3</v>
      </c>
      <c r="C7" s="67"/>
      <c r="D7" s="67">
        <f>COUNTIF(DocStatus,"Internally Approved")</f>
        <v>0</v>
      </c>
      <c r="E7" s="68"/>
      <c r="F7" s="30"/>
    </row>
    <row r="8" spans="1:6">
      <c r="A8" s="30"/>
      <c r="B8" s="66">
        <f t="shared" si="0"/>
        <v>4</v>
      </c>
      <c r="C8" s="67"/>
      <c r="D8" s="67">
        <f>COUNTIF(DocStatus,"Under Review")</f>
        <v>0</v>
      </c>
      <c r="E8" s="69"/>
      <c r="F8" s="30"/>
    </row>
    <row r="9" spans="1:6">
      <c r="A9" s="30"/>
      <c r="B9" s="66">
        <f t="shared" si="0"/>
        <v>5</v>
      </c>
      <c r="C9" s="67"/>
      <c r="D9" s="67">
        <f>COUNTIF(DocStatus,"Supplemental Only")</f>
        <v>0</v>
      </c>
      <c r="E9" s="69"/>
      <c r="F9" s="30"/>
    </row>
    <row r="10" spans="1:6">
      <c r="A10" s="30"/>
      <c r="B10" s="66">
        <f t="shared" si="0"/>
        <v>6</v>
      </c>
      <c r="C10" s="67"/>
      <c r="D10" s="67">
        <f>MAX(AddNumbers)</f>
        <v>3</v>
      </c>
      <c r="E10" s="69"/>
      <c r="F10" s="30"/>
    </row>
    <row r="11" spans="1:6">
      <c r="A11" s="30"/>
      <c r="B11" s="70"/>
      <c r="C11" s="67" t="s">
        <v>0</v>
      </c>
      <c r="D11" s="67" t="s">
        <v>0</v>
      </c>
      <c r="E11" s="69"/>
      <c r="F11" s="30"/>
    </row>
    <row r="12" spans="1:6">
      <c r="A12" s="30"/>
      <c r="B12" s="70"/>
      <c r="C12" s="67" t="s">
        <v>0</v>
      </c>
      <c r="D12" s="67" t="s">
        <v>0</v>
      </c>
      <c r="E12" s="69"/>
      <c r="F12" s="30"/>
    </row>
    <row r="13" spans="1:6">
      <c r="A13" s="30"/>
      <c r="B13" s="71"/>
      <c r="C13" s="72" t="s">
        <v>0</v>
      </c>
      <c r="D13" s="72" t="s">
        <v>0</v>
      </c>
      <c r="E13" s="73"/>
      <c r="F13" s="30"/>
    </row>
    <row r="14" spans="1:6">
      <c r="A14" s="30"/>
      <c r="B14" s="55" t="s">
        <v>41</v>
      </c>
      <c r="C14" s="30"/>
      <c r="D14" s="30"/>
      <c r="E14" s="30"/>
      <c r="F14" s="30"/>
    </row>
    <row r="15" spans="1:6">
      <c r="A15" s="30"/>
      <c r="B15" s="29"/>
      <c r="C15" s="30"/>
      <c r="D15" s="30"/>
      <c r="E15" s="46"/>
      <c r="F15" s="30"/>
    </row>
  </sheetData>
  <phoneticPr fontId="1" type="noConversion"/>
  <pageMargins left="0.74803149606299213" right="0.74803149606299213" top="0.59055118110236227" bottom="0.59055118110236227" header="0.51181102362204722" footer="0.31496062992125984"/>
  <pageSetup paperSize="9" fitToHeight="0" orientation="landscape" blackAndWhite="1" horizontalDpi="4294967293" r:id="rId1"/>
  <headerFooter alignWithMargins="0">
    <oddFooter>&amp;L&amp;8File Ref: &amp;F&amp;R&amp;8&amp;A
Page &amp;P of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13">
    <pageSetUpPr fitToPage="1"/>
  </sheetPr>
  <dimension ref="A1:N44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C5" sqref="C5"/>
    </sheetView>
  </sheetViews>
  <sheetFormatPr defaultRowHeight="12.75" outlineLevelCol="1"/>
  <cols>
    <col min="1" max="1" width="4.140625" customWidth="1"/>
    <col min="2" max="2" width="3.7109375" style="3" customWidth="1"/>
    <col min="3" max="3" width="4.28515625" style="3" bestFit="1" customWidth="1"/>
    <col min="4" max="4" width="4.5703125" style="3" bestFit="1" customWidth="1"/>
    <col min="5" max="5" width="19.42578125" customWidth="1"/>
    <col min="6" max="6" width="28.85546875" customWidth="1"/>
    <col min="7" max="7" width="17.85546875" customWidth="1" outlineLevel="1"/>
    <col min="8" max="8" width="43.7109375" customWidth="1"/>
    <col min="9" max="9" width="6.7109375" style="64" customWidth="1" outlineLevel="1"/>
    <col min="10" max="10" width="8.42578125" style="64" customWidth="1" outlineLevel="1"/>
    <col min="11" max="11" width="13.7109375" customWidth="1"/>
    <col min="12" max="12" width="14.140625" customWidth="1"/>
    <col min="13" max="13" width="37" customWidth="1" outlineLevel="1"/>
    <col min="14" max="14" width="4.42578125" customWidth="1"/>
  </cols>
  <sheetData>
    <row r="1" spans="1:14">
      <c r="A1" s="56"/>
      <c r="B1" s="29"/>
      <c r="C1" s="29"/>
      <c r="D1" s="29"/>
      <c r="E1" s="30"/>
      <c r="F1" s="30"/>
      <c r="G1" s="30"/>
      <c r="H1" s="30"/>
      <c r="I1" s="63"/>
      <c r="J1" s="63"/>
      <c r="K1" s="30"/>
      <c r="L1" s="30"/>
      <c r="M1" s="57" t="s">
        <v>47</v>
      </c>
      <c r="N1" s="56"/>
    </row>
    <row r="2" spans="1:14" ht="23.25">
      <c r="A2" s="30"/>
      <c r="B2" s="31" t="s">
        <v>72</v>
      </c>
      <c r="C2" s="31"/>
      <c r="D2" s="31"/>
      <c r="E2" s="30"/>
      <c r="F2" s="30"/>
      <c r="G2" s="30"/>
      <c r="H2" s="30"/>
      <c r="I2" s="63"/>
      <c r="J2" s="63"/>
      <c r="K2" s="30"/>
      <c r="L2" s="30"/>
      <c r="M2" s="30"/>
      <c r="N2" s="30"/>
    </row>
    <row r="3" spans="1:14">
      <c r="A3" s="30"/>
      <c r="B3" s="29"/>
      <c r="C3" s="29"/>
      <c r="D3" s="29"/>
      <c r="E3" s="30"/>
      <c r="F3" s="30"/>
      <c r="G3" s="30"/>
      <c r="H3" s="30"/>
      <c r="I3" s="63"/>
      <c r="J3" s="63"/>
      <c r="K3" s="30"/>
      <c r="L3" s="30"/>
      <c r="M3" s="46"/>
      <c r="N3" s="30"/>
    </row>
    <row r="4" spans="1:14" s="8" customFormat="1">
      <c r="A4" s="33"/>
      <c r="B4" s="80" t="s">
        <v>1</v>
      </c>
      <c r="C4" s="81" t="s">
        <v>48</v>
      </c>
      <c r="D4" s="81" t="s">
        <v>51</v>
      </c>
      <c r="E4" s="82" t="s">
        <v>45</v>
      </c>
      <c r="F4" s="82" t="s">
        <v>54</v>
      </c>
      <c r="G4" s="82" t="s">
        <v>46</v>
      </c>
      <c r="H4" s="82" t="s">
        <v>37</v>
      </c>
      <c r="I4" s="81" t="s">
        <v>19</v>
      </c>
      <c r="J4" s="81" t="s">
        <v>17</v>
      </c>
      <c r="K4" s="82" t="s">
        <v>25</v>
      </c>
      <c r="L4" s="37" t="s">
        <v>49</v>
      </c>
      <c r="M4" s="58" t="s">
        <v>5</v>
      </c>
      <c r="N4" s="33"/>
    </row>
    <row r="5" spans="1:14">
      <c r="A5" s="30"/>
      <c r="B5" s="65">
        <f t="shared" ref="B5:B21" si="0">ROW()-ROW($B$4)</f>
        <v>1</v>
      </c>
      <c r="C5" s="59"/>
      <c r="D5" s="59"/>
      <c r="E5" s="60"/>
      <c r="F5" s="60"/>
      <c r="G5" s="60"/>
      <c r="H5" s="60"/>
      <c r="I5" s="59"/>
      <c r="J5" s="79"/>
      <c r="K5" s="60"/>
      <c r="L5" s="60"/>
      <c r="M5" s="7"/>
      <c r="N5" s="30"/>
    </row>
    <row r="6" spans="1:14">
      <c r="A6" s="30"/>
      <c r="B6" s="65">
        <f t="shared" si="0"/>
        <v>2</v>
      </c>
      <c r="C6" s="59"/>
      <c r="D6" s="59"/>
      <c r="E6" s="60"/>
      <c r="F6" s="60"/>
      <c r="G6" s="60"/>
      <c r="H6" s="60"/>
      <c r="I6" s="59"/>
      <c r="J6" s="78"/>
      <c r="K6" s="60"/>
      <c r="L6" s="60"/>
      <c r="M6" s="7"/>
      <c r="N6" s="30"/>
    </row>
    <row r="7" spans="1:14">
      <c r="A7" s="30"/>
      <c r="B7" s="65">
        <f t="shared" si="0"/>
        <v>3</v>
      </c>
      <c r="C7" s="59"/>
      <c r="D7" s="59"/>
      <c r="E7" s="60"/>
      <c r="F7" s="60"/>
      <c r="G7" s="60"/>
      <c r="H7" s="60"/>
      <c r="I7" s="59"/>
      <c r="J7" s="79"/>
      <c r="K7" s="60"/>
      <c r="L7" s="60"/>
      <c r="M7" s="7"/>
      <c r="N7" s="30"/>
    </row>
    <row r="8" spans="1:14">
      <c r="A8" s="30"/>
      <c r="B8" s="65">
        <f t="shared" si="0"/>
        <v>4</v>
      </c>
      <c r="C8" s="59"/>
      <c r="D8" s="59"/>
      <c r="E8" s="60"/>
      <c r="F8" s="60"/>
      <c r="G8" s="60"/>
      <c r="H8" s="60"/>
      <c r="I8" s="59"/>
      <c r="J8" s="79"/>
      <c r="K8" s="60"/>
      <c r="L8" s="60"/>
      <c r="M8" s="7"/>
      <c r="N8" s="30"/>
    </row>
    <row r="9" spans="1:14">
      <c r="A9" s="30"/>
      <c r="B9" s="65">
        <f t="shared" si="0"/>
        <v>5</v>
      </c>
      <c r="C9" s="59"/>
      <c r="D9" s="59"/>
      <c r="E9" s="60"/>
      <c r="F9" s="60"/>
      <c r="G9" s="60"/>
      <c r="H9" s="60"/>
      <c r="I9" s="59"/>
      <c r="J9" s="79"/>
      <c r="K9" s="60"/>
      <c r="L9" s="60"/>
      <c r="M9" s="19"/>
      <c r="N9" s="30"/>
    </row>
    <row r="10" spans="1:14">
      <c r="A10" s="30"/>
      <c r="B10" s="65">
        <f t="shared" si="0"/>
        <v>6</v>
      </c>
      <c r="C10" s="59"/>
      <c r="D10" s="59"/>
      <c r="E10" s="60"/>
      <c r="F10" s="60"/>
      <c r="G10" s="60"/>
      <c r="H10" s="60"/>
      <c r="I10" s="59"/>
      <c r="J10" s="79"/>
      <c r="K10" s="60"/>
      <c r="L10" s="60"/>
      <c r="M10" s="7"/>
      <c r="N10" s="30"/>
    </row>
    <row r="11" spans="1:14">
      <c r="A11" s="30"/>
      <c r="B11" s="65">
        <f t="shared" si="0"/>
        <v>7</v>
      </c>
      <c r="C11" s="59"/>
      <c r="D11" s="59"/>
      <c r="E11" s="60"/>
      <c r="F11" s="60"/>
      <c r="G11" s="60"/>
      <c r="H11" s="60"/>
      <c r="I11" s="59"/>
      <c r="J11" s="79"/>
      <c r="K11" s="60"/>
      <c r="L11" s="60"/>
      <c r="M11" s="7"/>
      <c r="N11" s="30"/>
    </row>
    <row r="12" spans="1:14">
      <c r="A12" s="30"/>
      <c r="B12" s="65">
        <f t="shared" si="0"/>
        <v>8</v>
      </c>
      <c r="C12" s="62"/>
      <c r="D12" s="62"/>
      <c r="E12" s="61"/>
      <c r="F12" s="61"/>
      <c r="G12" s="61"/>
      <c r="H12" s="61"/>
      <c r="I12" s="62"/>
      <c r="J12" s="79"/>
      <c r="K12" s="60"/>
      <c r="L12" s="60"/>
      <c r="M12" s="7"/>
      <c r="N12" s="30"/>
    </row>
    <row r="13" spans="1:14">
      <c r="A13" s="30"/>
      <c r="B13" s="65">
        <f t="shared" si="0"/>
        <v>9</v>
      </c>
      <c r="C13" s="59"/>
      <c r="D13" s="59"/>
      <c r="E13" s="60"/>
      <c r="F13" s="60"/>
      <c r="G13" s="60"/>
      <c r="H13" s="60"/>
      <c r="I13" s="59"/>
      <c r="J13" s="79"/>
      <c r="K13" s="60"/>
      <c r="L13" s="60"/>
      <c r="M13" s="7"/>
      <c r="N13" s="30"/>
    </row>
    <row r="14" spans="1:14">
      <c r="A14" s="30"/>
      <c r="B14" s="65">
        <f t="shared" si="0"/>
        <v>10</v>
      </c>
      <c r="C14" s="59"/>
      <c r="D14" s="59"/>
      <c r="E14" s="60"/>
      <c r="F14" s="60"/>
      <c r="G14" s="60"/>
      <c r="H14" s="60"/>
      <c r="I14" s="59"/>
      <c r="J14" s="79"/>
      <c r="K14" s="60"/>
      <c r="L14" s="60"/>
      <c r="M14" s="7"/>
      <c r="N14" s="30"/>
    </row>
    <row r="15" spans="1:14">
      <c r="A15" s="30"/>
      <c r="B15" s="65">
        <f t="shared" si="0"/>
        <v>11</v>
      </c>
      <c r="C15" s="59"/>
      <c r="D15" s="59"/>
      <c r="E15" s="60"/>
      <c r="F15" s="60"/>
      <c r="G15" s="60"/>
      <c r="H15" s="60"/>
      <c r="I15" s="59"/>
      <c r="J15" s="79"/>
      <c r="K15" s="60"/>
      <c r="L15" s="60"/>
      <c r="M15" s="7"/>
      <c r="N15" s="30"/>
    </row>
    <row r="16" spans="1:14">
      <c r="A16" s="30"/>
      <c r="B16" s="65">
        <f t="shared" si="0"/>
        <v>12</v>
      </c>
      <c r="C16" s="59"/>
      <c r="D16" s="59"/>
      <c r="E16" s="60"/>
      <c r="F16" s="60"/>
      <c r="G16" s="60"/>
      <c r="H16" s="60"/>
      <c r="I16" s="59"/>
      <c r="J16" s="79"/>
      <c r="K16" s="60"/>
      <c r="L16" s="60"/>
      <c r="M16" s="7"/>
      <c r="N16" s="30"/>
    </row>
    <row r="17" spans="1:14">
      <c r="A17" s="30"/>
      <c r="B17" s="65">
        <f t="shared" si="0"/>
        <v>13</v>
      </c>
      <c r="C17" s="59"/>
      <c r="D17" s="59"/>
      <c r="E17" s="60"/>
      <c r="F17" s="60"/>
      <c r="G17" s="60"/>
      <c r="H17" s="60"/>
      <c r="I17" s="59"/>
      <c r="J17" s="79"/>
      <c r="K17" s="60"/>
      <c r="L17" s="60"/>
      <c r="M17" s="7"/>
      <c r="N17" s="30"/>
    </row>
    <row r="18" spans="1:14">
      <c r="A18" s="30"/>
      <c r="B18" s="65">
        <f t="shared" si="0"/>
        <v>14</v>
      </c>
      <c r="C18" s="59"/>
      <c r="D18" s="59"/>
      <c r="E18" s="60"/>
      <c r="F18" s="60"/>
      <c r="G18" s="60"/>
      <c r="H18" s="60"/>
      <c r="I18" s="59"/>
      <c r="J18" s="79"/>
      <c r="K18" s="60"/>
      <c r="L18" s="60"/>
      <c r="M18" s="7"/>
      <c r="N18" s="30"/>
    </row>
    <row r="19" spans="1:14">
      <c r="A19" s="30"/>
      <c r="B19" s="65">
        <f t="shared" si="0"/>
        <v>15</v>
      </c>
      <c r="C19" s="59"/>
      <c r="D19" s="59"/>
      <c r="E19" s="60"/>
      <c r="F19" s="60"/>
      <c r="G19" s="60"/>
      <c r="H19" s="60"/>
      <c r="I19" s="59"/>
      <c r="J19" s="79"/>
      <c r="K19" s="60"/>
      <c r="L19" s="60"/>
      <c r="M19" s="7"/>
      <c r="N19" s="30"/>
    </row>
    <row r="20" spans="1:14">
      <c r="A20" s="30"/>
      <c r="B20" s="65">
        <f t="shared" si="0"/>
        <v>16</v>
      </c>
      <c r="C20" s="59"/>
      <c r="D20" s="59"/>
      <c r="E20" s="60"/>
      <c r="F20" s="60"/>
      <c r="G20" s="60"/>
      <c r="H20" s="60"/>
      <c r="I20" s="59"/>
      <c r="J20" s="79"/>
      <c r="K20" s="60"/>
      <c r="L20" s="60"/>
      <c r="M20" s="19"/>
      <c r="N20" s="30"/>
    </row>
    <row r="21" spans="1:14">
      <c r="A21" s="30"/>
      <c r="B21" s="65">
        <f t="shared" si="0"/>
        <v>17</v>
      </c>
      <c r="C21" s="59"/>
      <c r="D21" s="62"/>
      <c r="E21" s="60"/>
      <c r="F21" s="60"/>
      <c r="G21" s="60"/>
      <c r="H21" s="60"/>
      <c r="I21" s="59"/>
      <c r="J21" s="79"/>
      <c r="K21" s="60"/>
      <c r="L21" s="60"/>
      <c r="M21" s="7"/>
      <c r="N21" s="30"/>
    </row>
    <row r="22" spans="1:14">
      <c r="A22" s="30"/>
      <c r="B22" s="59">
        <v>20</v>
      </c>
      <c r="C22" s="59"/>
      <c r="D22" s="62"/>
      <c r="E22" s="60"/>
      <c r="F22" s="60"/>
      <c r="G22" s="60"/>
      <c r="H22" s="60"/>
      <c r="I22" s="59"/>
      <c r="J22" s="79"/>
      <c r="K22" s="60"/>
      <c r="L22" s="60"/>
      <c r="M22" s="7"/>
      <c r="N22" s="30"/>
    </row>
    <row r="23" spans="1:14">
      <c r="A23" s="30"/>
      <c r="B23" s="65">
        <f>ROW()-ROW($B$4)</f>
        <v>19</v>
      </c>
      <c r="C23" s="59"/>
      <c r="D23" s="62"/>
      <c r="E23" s="60"/>
      <c r="F23" s="60"/>
      <c r="G23" s="60"/>
      <c r="H23" s="60"/>
      <c r="I23" s="59"/>
      <c r="J23" s="79"/>
      <c r="K23" s="60"/>
      <c r="L23" s="60"/>
      <c r="M23" s="7"/>
      <c r="N23" s="30"/>
    </row>
    <row r="24" spans="1:14">
      <c r="A24" s="30"/>
      <c r="B24" s="65">
        <f>ROW()-ROW($B$4)</f>
        <v>20</v>
      </c>
      <c r="C24" s="59"/>
      <c r="D24" s="62"/>
      <c r="E24" s="60"/>
      <c r="F24" s="60"/>
      <c r="G24" s="60"/>
      <c r="H24" s="60"/>
      <c r="I24" s="59" t="s">
        <v>56</v>
      </c>
      <c r="J24" s="79"/>
      <c r="K24" s="60"/>
      <c r="L24" s="60"/>
      <c r="M24" s="7"/>
      <c r="N24" s="30"/>
    </row>
    <row r="25" spans="1:14">
      <c r="A25" s="30"/>
      <c r="B25" s="65">
        <f>ROW()-ROW($B$4)</f>
        <v>21</v>
      </c>
      <c r="C25" s="59"/>
      <c r="D25" s="62"/>
      <c r="E25" s="60"/>
      <c r="F25" s="60"/>
      <c r="G25" s="60"/>
      <c r="H25" s="60"/>
      <c r="I25" s="59"/>
      <c r="J25" s="79"/>
      <c r="K25" s="60"/>
      <c r="L25" s="60"/>
      <c r="M25" s="7"/>
      <c r="N25" s="30"/>
    </row>
    <row r="26" spans="1:14">
      <c r="A26" s="30"/>
      <c r="B26" s="59"/>
      <c r="C26" s="59"/>
      <c r="D26" s="59"/>
      <c r="E26" s="60"/>
      <c r="F26" s="60"/>
      <c r="G26" s="60"/>
      <c r="H26" s="60"/>
      <c r="I26" s="59"/>
      <c r="J26" s="59"/>
      <c r="K26" s="60"/>
      <c r="L26" s="60"/>
      <c r="M26" s="7"/>
      <c r="N26" s="30"/>
    </row>
    <row r="27" spans="1:14">
      <c r="A27" s="30"/>
      <c r="B27" s="59"/>
      <c r="C27" s="59"/>
      <c r="D27" s="59"/>
      <c r="E27" s="60"/>
      <c r="F27" s="60"/>
      <c r="G27" s="60"/>
      <c r="H27" s="60"/>
      <c r="I27" s="59"/>
      <c r="J27" s="59"/>
      <c r="K27" s="60"/>
      <c r="L27" s="60"/>
      <c r="M27" s="7"/>
      <c r="N27" s="30"/>
    </row>
    <row r="28" spans="1:14">
      <c r="A28" s="30"/>
      <c r="B28" s="59"/>
      <c r="C28" s="59"/>
      <c r="D28" s="59"/>
      <c r="E28" s="60" t="s">
        <v>0</v>
      </c>
      <c r="F28" s="60"/>
      <c r="G28" s="60"/>
      <c r="H28" s="60"/>
      <c r="I28" s="59"/>
      <c r="J28" s="59"/>
      <c r="K28" s="60" t="s">
        <v>0</v>
      </c>
      <c r="L28" s="60"/>
      <c r="M28" s="7"/>
      <c r="N28" s="30"/>
    </row>
    <row r="29" spans="1:14">
      <c r="A29" s="30"/>
      <c r="B29" s="83"/>
      <c r="C29" s="55"/>
      <c r="D29" s="55"/>
      <c r="E29" s="30"/>
      <c r="F29" s="30"/>
      <c r="G29" s="30"/>
      <c r="H29" s="30"/>
      <c r="I29" s="63"/>
      <c r="J29" s="63"/>
      <c r="K29" s="30"/>
      <c r="L29" s="30"/>
      <c r="M29" s="30"/>
      <c r="N29" s="30"/>
    </row>
    <row r="30" spans="1:14">
      <c r="A30" s="30"/>
      <c r="B30" s="55"/>
      <c r="C30" s="55"/>
      <c r="D30" s="55"/>
      <c r="E30" s="30"/>
      <c r="F30" s="30"/>
      <c r="G30" s="30"/>
      <c r="H30" s="30"/>
      <c r="I30" s="63"/>
      <c r="J30" s="63"/>
      <c r="K30" s="30"/>
      <c r="L30" s="30"/>
      <c r="M30" s="30"/>
      <c r="N30" s="30"/>
    </row>
    <row r="31" spans="1:14">
      <c r="A31" s="30"/>
      <c r="B31" s="29"/>
      <c r="C31" s="29"/>
      <c r="D31" s="29"/>
      <c r="E31" s="30"/>
      <c r="F31" s="30"/>
      <c r="G31" s="30"/>
      <c r="H31" s="30"/>
      <c r="I31" s="63"/>
      <c r="J31" s="63"/>
      <c r="K31" s="30"/>
      <c r="L31" s="30"/>
      <c r="M31" s="46"/>
      <c r="N31" s="30"/>
    </row>
    <row r="32" spans="1:14" ht="15.75">
      <c r="A32" s="30"/>
      <c r="B32" s="77" t="s">
        <v>73</v>
      </c>
      <c r="C32" s="29"/>
      <c r="D32" s="29"/>
      <c r="E32" s="30"/>
      <c r="F32" s="30"/>
      <c r="G32" s="30"/>
      <c r="H32" s="30"/>
      <c r="I32" s="63"/>
      <c r="J32" s="63"/>
      <c r="K32" s="30"/>
      <c r="L32" s="30"/>
      <c r="M32" s="46"/>
      <c r="N32" s="30"/>
    </row>
    <row r="33" spans="1:14">
      <c r="A33" s="74"/>
      <c r="B33" s="75"/>
      <c r="C33" s="75"/>
      <c r="D33" s="75"/>
      <c r="E33" s="74"/>
      <c r="F33" s="74"/>
      <c r="G33" s="74"/>
      <c r="H33" s="74"/>
      <c r="I33" s="76"/>
      <c r="J33" s="76"/>
      <c r="K33" s="74"/>
      <c r="L33" s="74"/>
      <c r="M33" s="74"/>
      <c r="N33" s="74"/>
    </row>
    <row r="34" spans="1:14" s="8" customFormat="1">
      <c r="A34" s="33"/>
      <c r="B34" s="80" t="s">
        <v>1</v>
      </c>
      <c r="C34" s="81" t="s">
        <v>48</v>
      </c>
      <c r="D34" s="81" t="s">
        <v>51</v>
      </c>
      <c r="E34" s="82" t="s">
        <v>45</v>
      </c>
      <c r="F34" s="82" t="s">
        <v>54</v>
      </c>
      <c r="G34" s="82" t="s">
        <v>46</v>
      </c>
      <c r="H34" s="82" t="s">
        <v>37</v>
      </c>
      <c r="I34" s="81" t="s">
        <v>19</v>
      </c>
      <c r="J34" s="81" t="s">
        <v>17</v>
      </c>
      <c r="K34" s="82" t="s">
        <v>25</v>
      </c>
      <c r="L34" s="37" t="s">
        <v>49</v>
      </c>
      <c r="M34" s="58" t="s">
        <v>5</v>
      </c>
      <c r="N34" s="33"/>
    </row>
    <row r="35" spans="1:14">
      <c r="A35" s="30"/>
      <c r="B35" s="59">
        <v>1</v>
      </c>
      <c r="C35" s="59"/>
      <c r="D35" s="59"/>
      <c r="E35" s="60"/>
      <c r="F35" s="60"/>
      <c r="G35" s="60"/>
      <c r="H35" s="60"/>
      <c r="I35" s="59"/>
      <c r="J35" s="59"/>
      <c r="K35" s="60"/>
      <c r="L35" s="60"/>
      <c r="M35" s="7"/>
      <c r="N35" s="30"/>
    </row>
    <row r="36" spans="1:14">
      <c r="A36" s="30"/>
      <c r="B36" s="59">
        <v>2</v>
      </c>
      <c r="C36" s="59"/>
      <c r="D36" s="59"/>
      <c r="E36" s="60"/>
      <c r="F36" s="60"/>
      <c r="G36" s="60"/>
      <c r="H36" s="60"/>
      <c r="I36" s="59"/>
      <c r="J36" s="59"/>
      <c r="K36" s="60"/>
      <c r="L36" s="60"/>
      <c r="M36" s="7"/>
      <c r="N36" s="30"/>
    </row>
    <row r="37" spans="1:14" ht="24" customHeight="1">
      <c r="A37" s="30"/>
      <c r="B37" s="59">
        <v>3</v>
      </c>
      <c r="C37" s="59"/>
      <c r="D37" s="59"/>
      <c r="E37" s="60"/>
      <c r="F37" s="60"/>
      <c r="G37" s="60"/>
      <c r="H37" s="60"/>
      <c r="I37" s="59"/>
      <c r="J37" s="59"/>
      <c r="K37" s="60"/>
      <c r="L37" s="60"/>
      <c r="M37" s="7"/>
      <c r="N37" s="30"/>
    </row>
    <row r="38" spans="1:14">
      <c r="A38" s="30"/>
      <c r="B38" s="59"/>
      <c r="C38" s="59"/>
      <c r="D38" s="59"/>
      <c r="E38" s="60"/>
      <c r="F38" s="60"/>
      <c r="G38" s="60"/>
      <c r="H38" s="60"/>
      <c r="I38" s="59"/>
      <c r="J38" s="59"/>
      <c r="K38" s="60"/>
      <c r="L38" s="60"/>
      <c r="M38" s="7"/>
      <c r="N38" s="30"/>
    </row>
    <row r="39" spans="1:14">
      <c r="A39" s="30"/>
      <c r="B39" s="59"/>
      <c r="C39" s="59"/>
      <c r="D39" s="59"/>
      <c r="E39" s="60"/>
      <c r="F39" s="60"/>
      <c r="G39" s="60"/>
      <c r="H39" s="60"/>
      <c r="I39" s="59"/>
      <c r="J39" s="59"/>
      <c r="K39" s="60"/>
      <c r="L39" s="60"/>
      <c r="M39" s="7"/>
      <c r="N39" s="30"/>
    </row>
    <row r="40" spans="1:14">
      <c r="A40" s="30"/>
      <c r="B40" s="59"/>
      <c r="C40" s="59"/>
      <c r="D40" s="59"/>
      <c r="E40" s="60"/>
      <c r="F40" s="60"/>
      <c r="G40" s="60"/>
      <c r="H40" s="60"/>
      <c r="I40" s="59"/>
      <c r="J40" s="59"/>
      <c r="K40" s="60"/>
      <c r="L40" s="60"/>
      <c r="M40" s="7"/>
      <c r="N40" s="30"/>
    </row>
    <row r="41" spans="1:14">
      <c r="A41" s="30"/>
      <c r="B41" s="59"/>
      <c r="C41" s="59"/>
      <c r="D41" s="59"/>
      <c r="E41" s="60"/>
      <c r="F41" s="60"/>
      <c r="G41" s="60"/>
      <c r="H41" s="60"/>
      <c r="I41" s="59"/>
      <c r="J41" s="59"/>
      <c r="K41" s="60"/>
      <c r="L41" s="60"/>
      <c r="M41" s="7"/>
      <c r="N41" s="30"/>
    </row>
    <row r="42" spans="1:14">
      <c r="A42" s="30"/>
      <c r="B42" s="59"/>
      <c r="C42" s="59"/>
      <c r="D42" s="59"/>
      <c r="E42" s="60"/>
      <c r="F42" s="60"/>
      <c r="G42" s="60"/>
      <c r="H42" s="60"/>
      <c r="I42" s="59"/>
      <c r="J42" s="59"/>
      <c r="K42" s="60"/>
      <c r="L42" s="60"/>
      <c r="M42" s="7"/>
      <c r="N42" s="30"/>
    </row>
    <row r="43" spans="1:14">
      <c r="A43" s="74"/>
      <c r="B43" s="83"/>
      <c r="C43" s="75"/>
      <c r="D43" s="75"/>
      <c r="E43" s="74"/>
      <c r="F43" s="74"/>
      <c r="G43" s="74"/>
      <c r="H43" s="74"/>
      <c r="I43" s="76"/>
      <c r="J43" s="76"/>
      <c r="K43" s="74"/>
      <c r="L43" s="74"/>
      <c r="M43" s="74"/>
      <c r="N43" s="74"/>
    </row>
    <row r="44" spans="1:14">
      <c r="A44" s="74"/>
      <c r="B44" s="75"/>
      <c r="C44" s="75"/>
      <c r="D44" s="75"/>
      <c r="E44" s="74"/>
      <c r="F44" s="74"/>
      <c r="G44" s="74"/>
      <c r="H44" s="74"/>
      <c r="I44" s="76"/>
      <c r="J44" s="76"/>
      <c r="K44" s="74"/>
      <c r="L44" s="74"/>
      <c r="M44" s="74"/>
      <c r="N44" s="74"/>
    </row>
  </sheetData>
  <phoneticPr fontId="1" type="noConversion"/>
  <dataValidations count="1">
    <dataValidation type="list" allowBlank="1" showInputMessage="1" showErrorMessage="1" sqref="L5 L6:L28">
      <formula1>DocStati</formula1>
    </dataValidation>
  </dataValidations>
  <pageMargins left="0.59" right="0.46" top="0.48" bottom="0.69" header="0.42" footer="0.31"/>
  <pageSetup paperSize="9" scale="65" fitToHeight="0" orientation="landscape" blackAndWhite="1" horizontalDpi="4294967293" r:id="rId1"/>
  <headerFooter alignWithMargins="0">
    <oddFooter>&amp;L&amp;8File Ref: &amp;F&amp;R&amp;8&amp;A
Page &amp;P of 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14">
    <pageSetUpPr fitToPage="1"/>
  </sheetPr>
  <dimension ref="A1:G18"/>
  <sheetViews>
    <sheetView topLeftCell="A2" workbookViewId="0">
      <selection activeCell="F28" sqref="F28"/>
    </sheetView>
  </sheetViews>
  <sheetFormatPr defaultRowHeight="12.75"/>
  <cols>
    <col min="1" max="1" width="4.140625" customWidth="1"/>
    <col min="2" max="2" width="3.7109375" style="3" customWidth="1"/>
    <col min="3" max="3" width="26" customWidth="1"/>
    <col min="4" max="4" width="34.7109375" customWidth="1"/>
    <col min="5" max="5" width="3.140625" customWidth="1"/>
    <col min="6" max="6" width="37" customWidth="1"/>
    <col min="7" max="7" width="4.28515625" customWidth="1"/>
  </cols>
  <sheetData>
    <row r="1" spans="1:7">
      <c r="A1" s="56"/>
      <c r="B1" s="29"/>
      <c r="C1" s="30"/>
      <c r="D1" s="30"/>
      <c r="E1" s="30"/>
      <c r="F1" s="57" t="s">
        <v>42</v>
      </c>
      <c r="G1" s="30"/>
    </row>
    <row r="2" spans="1:7" ht="23.25">
      <c r="A2" s="30"/>
      <c r="B2" s="31" t="s">
        <v>74</v>
      </c>
      <c r="C2" s="30"/>
      <c r="D2" s="30"/>
      <c r="E2" s="30"/>
      <c r="F2" s="30"/>
      <c r="G2" s="30"/>
    </row>
    <row r="3" spans="1:7">
      <c r="A3" s="30"/>
      <c r="B3" s="29"/>
      <c r="C3" s="30"/>
      <c r="D3" s="30"/>
      <c r="E3" s="30"/>
      <c r="F3" s="46"/>
      <c r="G3" s="30"/>
    </row>
    <row r="4" spans="1:7" s="8" customFormat="1" ht="27.6" customHeight="1">
      <c r="A4" s="33"/>
      <c r="B4" s="34" t="s">
        <v>1</v>
      </c>
      <c r="C4" s="35" t="s">
        <v>49</v>
      </c>
      <c r="D4" s="35" t="s">
        <v>60</v>
      </c>
      <c r="E4" s="35"/>
      <c r="F4" s="58" t="s">
        <v>5</v>
      </c>
      <c r="G4" s="33"/>
    </row>
    <row r="5" spans="1:7">
      <c r="A5" s="30"/>
      <c r="B5" s="65">
        <f>ROW()-ROW($B$4)</f>
        <v>1</v>
      </c>
      <c r="C5" s="18" t="s">
        <v>57</v>
      </c>
      <c r="D5" s="18" t="s">
        <v>62</v>
      </c>
      <c r="E5" s="18"/>
      <c r="F5" s="19"/>
      <c r="G5" s="30"/>
    </row>
    <row r="6" spans="1:7">
      <c r="A6" s="30"/>
      <c r="B6" s="65">
        <f t="shared" ref="B6:B11" si="0">ROW()-ROW($B$4)</f>
        <v>2</v>
      </c>
      <c r="C6" s="18" t="s">
        <v>53</v>
      </c>
      <c r="D6" s="18" t="s">
        <v>63</v>
      </c>
      <c r="E6" s="18"/>
      <c r="F6" s="7"/>
      <c r="G6" s="30"/>
    </row>
    <row r="7" spans="1:7">
      <c r="A7" s="30"/>
      <c r="B7" s="65">
        <f t="shared" si="0"/>
        <v>3</v>
      </c>
      <c r="C7" s="18" t="s">
        <v>55</v>
      </c>
      <c r="D7" s="18" t="s">
        <v>64</v>
      </c>
      <c r="E7" s="18"/>
      <c r="F7" s="7"/>
      <c r="G7" s="30"/>
    </row>
    <row r="8" spans="1:7">
      <c r="A8" s="30"/>
      <c r="B8" s="65">
        <f t="shared" si="0"/>
        <v>4</v>
      </c>
      <c r="C8" s="18" t="s">
        <v>75</v>
      </c>
      <c r="D8" s="18" t="s">
        <v>65</v>
      </c>
      <c r="E8" s="18"/>
      <c r="F8" s="7"/>
      <c r="G8" s="30"/>
    </row>
    <row r="9" spans="1:7">
      <c r="A9" s="30"/>
      <c r="B9" s="65">
        <f t="shared" si="0"/>
        <v>5</v>
      </c>
      <c r="C9" s="18" t="s">
        <v>61</v>
      </c>
      <c r="D9" s="18" t="s">
        <v>66</v>
      </c>
      <c r="E9" s="18"/>
      <c r="F9" s="7"/>
      <c r="G9" s="30"/>
    </row>
    <row r="10" spans="1:7">
      <c r="A10" s="30"/>
      <c r="B10" s="65">
        <f t="shared" si="0"/>
        <v>6</v>
      </c>
      <c r="C10" s="18" t="s">
        <v>68</v>
      </c>
      <c r="D10" s="18" t="s">
        <v>67</v>
      </c>
      <c r="E10" s="18"/>
      <c r="F10" s="7"/>
      <c r="G10" s="30"/>
    </row>
    <row r="11" spans="1:7">
      <c r="A11" s="30"/>
      <c r="B11" s="65">
        <f t="shared" si="0"/>
        <v>7</v>
      </c>
      <c r="C11" s="18" t="s">
        <v>58</v>
      </c>
      <c r="D11" s="18" t="s">
        <v>67</v>
      </c>
      <c r="E11" s="18"/>
      <c r="F11" s="19"/>
      <c r="G11" s="30"/>
    </row>
    <row r="12" spans="1:7">
      <c r="A12" s="30"/>
      <c r="B12" s="17"/>
      <c r="C12" s="18"/>
      <c r="D12" s="18"/>
      <c r="E12" s="18"/>
      <c r="F12" s="7"/>
      <c r="G12" s="30"/>
    </row>
    <row r="13" spans="1:7">
      <c r="A13" s="30"/>
      <c r="B13" s="17"/>
      <c r="C13" s="18"/>
      <c r="D13" s="18"/>
      <c r="E13" s="18"/>
      <c r="F13" s="19"/>
      <c r="G13" s="30"/>
    </row>
    <row r="14" spans="1:7">
      <c r="A14" s="30"/>
      <c r="B14" s="17"/>
      <c r="C14" s="18"/>
      <c r="D14" s="18"/>
      <c r="E14" s="18"/>
      <c r="F14" s="7"/>
      <c r="G14" s="30"/>
    </row>
    <row r="15" spans="1:7">
      <c r="A15" s="30"/>
      <c r="B15" s="22"/>
      <c r="C15" s="23" t="s">
        <v>0</v>
      </c>
      <c r="D15" s="23"/>
      <c r="E15" s="23" t="s">
        <v>0</v>
      </c>
      <c r="F15" s="1"/>
      <c r="G15" s="30"/>
    </row>
    <row r="16" spans="1:7">
      <c r="A16" s="30"/>
      <c r="B16" s="20"/>
      <c r="C16" s="21" t="s">
        <v>0</v>
      </c>
      <c r="D16" s="21"/>
      <c r="E16" s="21" t="s">
        <v>0</v>
      </c>
      <c r="F16" s="2"/>
      <c r="G16" s="30"/>
    </row>
    <row r="17" spans="1:7">
      <c r="A17" s="30"/>
      <c r="B17" s="55"/>
      <c r="C17" s="30"/>
      <c r="D17" s="30"/>
      <c r="E17" s="30"/>
      <c r="F17" s="30"/>
      <c r="G17" s="30"/>
    </row>
    <row r="18" spans="1:7">
      <c r="A18" s="30"/>
      <c r="B18" s="29"/>
      <c r="C18" s="30"/>
      <c r="D18" s="30"/>
      <c r="E18" s="30"/>
      <c r="F18" s="46"/>
      <c r="G18" s="30"/>
    </row>
  </sheetData>
  <phoneticPr fontId="1" type="noConversion"/>
  <pageMargins left="0.74803149606299213" right="0.74803149606299213" top="0.53" bottom="0.61" header="0.51181102362204722" footer="0.31"/>
  <pageSetup paperSize="9" scale="87" fitToHeight="0" orientation="landscape" blackAndWhite="1" horizontalDpi="4294967293" r:id="rId1"/>
  <headerFooter alignWithMargins="0">
    <oddFooter>&amp;L&amp;8File Ref: &amp;F&amp;R&amp;8&amp;A
Page &amp;P of 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6">
    <pageSetUpPr fitToPage="1"/>
  </sheetPr>
  <dimension ref="A1:F15"/>
  <sheetViews>
    <sheetView workbookViewId="0">
      <selection activeCell="E1" sqref="E1"/>
    </sheetView>
  </sheetViews>
  <sheetFormatPr defaultRowHeight="12.75"/>
  <cols>
    <col min="1" max="1" width="4.140625" customWidth="1"/>
    <col min="2" max="2" width="3.7109375" style="3" customWidth="1"/>
    <col min="3" max="3" width="21.5703125" customWidth="1"/>
    <col min="4" max="4" width="38.42578125" customWidth="1"/>
    <col min="5" max="5" width="37" customWidth="1"/>
    <col min="6" max="6" width="4.28515625" customWidth="1"/>
  </cols>
  <sheetData>
    <row r="1" spans="1:6">
      <c r="A1" s="56"/>
      <c r="B1" s="29"/>
      <c r="C1" s="30"/>
      <c r="D1" s="30"/>
      <c r="E1" s="57"/>
      <c r="F1" s="30"/>
    </row>
    <row r="2" spans="1:6" ht="23.25">
      <c r="A2" s="30"/>
      <c r="B2" s="31" t="s">
        <v>40</v>
      </c>
      <c r="C2" s="30"/>
      <c r="D2" s="30"/>
      <c r="E2" s="30"/>
      <c r="F2" s="30"/>
    </row>
    <row r="3" spans="1:6">
      <c r="A3" s="30"/>
      <c r="B3" s="29"/>
      <c r="C3" s="30"/>
      <c r="D3" s="30"/>
      <c r="E3" s="46"/>
      <c r="F3" s="30"/>
    </row>
    <row r="4" spans="1:6" s="8" customFormat="1" ht="26.45" customHeight="1">
      <c r="A4" s="33"/>
      <c r="B4" s="34" t="s">
        <v>1</v>
      </c>
      <c r="C4" s="35" t="s">
        <v>13</v>
      </c>
      <c r="D4" s="35" t="s">
        <v>14</v>
      </c>
      <c r="E4" s="58" t="s">
        <v>5</v>
      </c>
      <c r="F4" s="33"/>
    </row>
    <row r="5" spans="1:6">
      <c r="A5" s="30"/>
      <c r="B5" s="17"/>
      <c r="C5" s="18"/>
      <c r="D5" s="18"/>
      <c r="E5" s="19"/>
      <c r="F5" s="30"/>
    </row>
    <row r="6" spans="1:6">
      <c r="A6" s="30"/>
      <c r="B6" s="17"/>
      <c r="C6" s="18"/>
      <c r="D6" s="18"/>
      <c r="E6" s="7"/>
      <c r="F6" s="30"/>
    </row>
    <row r="7" spans="1:6">
      <c r="A7" s="30"/>
      <c r="B7" s="17"/>
      <c r="C7" s="18"/>
      <c r="D7" s="18"/>
      <c r="E7" s="7"/>
      <c r="F7" s="30"/>
    </row>
    <row r="8" spans="1:6">
      <c r="A8" s="30"/>
      <c r="B8" s="17"/>
      <c r="C8" s="18"/>
      <c r="D8" s="18"/>
      <c r="E8" s="19"/>
      <c r="F8" s="30"/>
    </row>
    <row r="9" spans="1:6">
      <c r="A9" s="30"/>
      <c r="B9" s="17"/>
      <c r="C9" s="18" t="s">
        <v>0</v>
      </c>
      <c r="D9" s="18" t="s">
        <v>0</v>
      </c>
      <c r="E9" s="19"/>
      <c r="F9" s="30"/>
    </row>
    <row r="10" spans="1:6">
      <c r="A10" s="30"/>
      <c r="B10" s="17"/>
      <c r="C10" s="18" t="s">
        <v>0</v>
      </c>
      <c r="D10" s="18" t="s">
        <v>0</v>
      </c>
      <c r="E10" s="19"/>
      <c r="F10" s="30"/>
    </row>
    <row r="11" spans="1:6">
      <c r="A11" s="30"/>
      <c r="B11" s="17"/>
      <c r="C11" s="18" t="s">
        <v>0</v>
      </c>
      <c r="D11" s="18" t="s">
        <v>0</v>
      </c>
      <c r="E11" s="19"/>
      <c r="F11" s="30"/>
    </row>
    <row r="12" spans="1:6">
      <c r="A12" s="30"/>
      <c r="B12" s="17"/>
      <c r="C12" s="18" t="s">
        <v>0</v>
      </c>
      <c r="D12" s="18" t="s">
        <v>0</v>
      </c>
      <c r="E12" s="19"/>
      <c r="F12" s="30"/>
    </row>
    <row r="13" spans="1:6">
      <c r="A13" s="30"/>
      <c r="B13" s="20"/>
      <c r="C13" s="21" t="s">
        <v>0</v>
      </c>
      <c r="D13" s="21" t="s">
        <v>0</v>
      </c>
      <c r="E13" s="2"/>
      <c r="F13" s="30"/>
    </row>
    <row r="14" spans="1:6">
      <c r="A14" s="30"/>
      <c r="B14" s="55"/>
      <c r="C14" s="30"/>
      <c r="D14" s="30"/>
      <c r="E14" s="30"/>
      <c r="F14" s="30"/>
    </row>
    <row r="15" spans="1:6">
      <c r="A15" s="30"/>
      <c r="B15" s="29"/>
      <c r="C15" s="30"/>
      <c r="D15" s="30"/>
      <c r="E15" s="46"/>
      <c r="F15" s="30"/>
    </row>
  </sheetData>
  <phoneticPr fontId="1" type="noConversion"/>
  <pageMargins left="0.74803149606299213" right="0.74803149606299213" top="0.54" bottom="0.62" header="0.51181102362204722" footer="0.31"/>
  <pageSetup paperSize="9" fitToHeight="0" orientation="landscape" blackAndWhite="1" horizontalDpi="4294967293" r:id="rId1"/>
  <headerFooter alignWithMargins="0">
    <oddFooter>&amp;L&amp;8File Ref: &amp;F&amp;R&amp;8&amp;A
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18</vt:i4>
      </vt:variant>
    </vt:vector>
  </HeadingPairs>
  <TitlesOfParts>
    <vt:vector size="25" baseType="lpstr">
      <vt:lpstr>Title Page</vt:lpstr>
      <vt:lpstr>Document Control</vt:lpstr>
      <vt:lpstr>Contents</vt:lpstr>
      <vt:lpstr>Summary</vt:lpstr>
      <vt:lpstr>Document Index</vt:lpstr>
      <vt:lpstr>Document Statuses</vt:lpstr>
      <vt:lpstr>Template</vt:lpstr>
      <vt:lpstr>AddNumbers</vt:lpstr>
      <vt:lpstr>ChangeDate</vt:lpstr>
      <vt:lpstr>'Document Control'!CustomTops</vt:lpstr>
      <vt:lpstr>'Document Index'!CustomTops</vt:lpstr>
      <vt:lpstr>'Document Statuses'!CustomTops</vt:lpstr>
      <vt:lpstr>Summary!CustomTops</vt:lpstr>
      <vt:lpstr>Template!CustomTops</vt:lpstr>
      <vt:lpstr>'Title Page'!CustomTops</vt:lpstr>
      <vt:lpstr>DocNumbers</vt:lpstr>
      <vt:lpstr>DocStati</vt:lpstr>
      <vt:lpstr>DocStatus</vt:lpstr>
      <vt:lpstr>Document_Ref</vt:lpstr>
      <vt:lpstr>Responsibilities</vt:lpstr>
      <vt:lpstr>RoleCategories</vt:lpstr>
      <vt:lpstr>StartTable</vt:lpstr>
      <vt:lpstr>StartTableContent</vt:lpstr>
      <vt:lpstr>Subject</vt:lpstr>
      <vt:lpstr>Title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CM.030 Document Index</dc:title>
  <dc:creator>Oracle Methods</dc:creator>
  <cp:keywords>OUM</cp:keywords>
  <dc:description>Copyright © 2011, Oracle and/or its affiliates.  All rights reserved.</dc:description>
  <cp:lastModifiedBy>masander</cp:lastModifiedBy>
  <cp:lastPrinted>2010-08-08T14:14:04Z</cp:lastPrinted>
  <dcterms:created xsi:type="dcterms:W3CDTF">2007-10-09T20:56:26Z</dcterms:created>
  <dcterms:modified xsi:type="dcterms:W3CDTF">2014-10-03T22:16:14Z</dcterms:modified>
</cp:coreProperties>
</file>