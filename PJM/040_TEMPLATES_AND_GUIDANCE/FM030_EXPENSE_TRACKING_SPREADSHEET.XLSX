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50" yWindow="-120" windowWidth="12120" windowHeight="9120"/>
  </bookViews>
  <sheets>
    <sheet name="Tracking" sheetId="1" r:id="rId1"/>
    <sheet name="Metric" sheetId="2" r:id="rId2"/>
  </sheets>
  <definedNames>
    <definedName name="_xlnm.Print_Titles" localSheetId="0">Tracking!$A:$B,Tracking!$3:$4</definedName>
  </definedNames>
  <calcPr calcId="125725"/>
</workbook>
</file>

<file path=xl/calcChain.xml><?xml version="1.0" encoding="utf-8"?>
<calcChain xmlns="http://schemas.openxmlformats.org/spreadsheetml/2006/main">
  <c r="AS3" i="1"/>
  <c r="AQ3"/>
  <c r="AO3"/>
  <c r="AA3"/>
  <c r="AM3" s="1"/>
  <c r="M3"/>
  <c r="Y3" s="1"/>
  <c r="K6"/>
  <c r="Y6"/>
  <c r="AM6"/>
  <c r="AU6" s="1"/>
  <c r="K8"/>
  <c r="Y8"/>
  <c r="AM8"/>
  <c r="AU8"/>
  <c r="C3" i="2" s="1"/>
  <c r="K9" i="1"/>
  <c r="Y9"/>
  <c r="AM9"/>
  <c r="AU9" s="1"/>
  <c r="D3" i="2" s="1"/>
  <c r="B3" l="1"/>
  <c r="AU10" i="1"/>
  <c r="E3" i="2" s="1"/>
  <c r="AU12" i="1" l="1"/>
  <c r="F3" i="2" s="1"/>
</calcChain>
</file>

<file path=xl/comments1.xml><?xml version="1.0" encoding="utf-8"?>
<comments xmlns="http://schemas.openxmlformats.org/spreadsheetml/2006/main">
  <authors>
    <author>David Quayle</author>
  </authors>
  <commentList>
    <comment ref="B2" authorId="0">
      <text>
        <r>
          <rPr>
            <b/>
            <sz val="8"/>
            <color indexed="81"/>
            <rFont val="Tahoma"/>
          </rPr>
          <t>Total Budget</t>
        </r>
      </text>
    </comment>
    <comment ref="C2" authorId="0">
      <text>
        <r>
          <rPr>
            <b/>
            <sz val="8"/>
            <color indexed="81"/>
            <rFont val="Tahoma"/>
          </rPr>
          <t xml:space="preserve">Actual to Date
</t>
        </r>
      </text>
    </comment>
    <comment ref="D2" authorId="0">
      <text>
        <r>
          <rPr>
            <b/>
            <sz val="8"/>
            <color indexed="81"/>
            <rFont val="Tahoma"/>
          </rPr>
          <t>Estimate to Complete</t>
        </r>
      </text>
    </comment>
    <comment ref="E2" authorId="0">
      <text>
        <r>
          <rPr>
            <b/>
            <sz val="8"/>
            <color indexed="81"/>
            <rFont val="Tahoma"/>
          </rPr>
          <t>Estimate at Completion</t>
        </r>
      </text>
    </comment>
    <comment ref="F2" authorId="0">
      <text>
        <r>
          <rPr>
            <b/>
            <sz val="8"/>
            <color indexed="81"/>
            <rFont val="Tahoma"/>
          </rPr>
          <t xml:space="preserve">Variance at Completion
</t>
        </r>
      </text>
    </comment>
  </commentList>
</comments>
</file>

<file path=xl/sharedStrings.xml><?xml version="1.0" encoding="utf-8"?>
<sst xmlns="http://schemas.openxmlformats.org/spreadsheetml/2006/main" count="57" uniqueCount="31">
  <si>
    <t>Total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</si>
  <si>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</si>
  <si>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</si>
  <si>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</si>
  <si>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</si>
  <si>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</si>
  <si>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</si>
  <si>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</si>
  <si>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</si>
  <si>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</si>
  <si>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Jan</t>
  </si>
  <si>
    <t>Feb</t>
  </si>
  <si>
    <t>Mar</t>
  </si>
  <si>
    <t>All Years</t>
  </si>
  <si>
    <t xml:space="preserve"> </t>
  </si>
  <si>
    <t>Budget (Plan)</t>
  </si>
  <si>
    <t>&lt;Project Name&gt;</t>
  </si>
  <si>
    <t>Budget Variance Metric</t>
  </si>
  <si>
    <t>Budget</t>
  </si>
  <si>
    <t xml:space="preserve">Actual </t>
  </si>
  <si>
    <r>
      <t>Actual</t>
    </r>
    <r>
      <rPr>
        <sz val="10"/>
        <rFont val="Arial"/>
      </rPr>
      <t xml:space="preserve"> to date</t>
    </r>
  </si>
  <si>
    <t>Estimate to Complete (Outlook)</t>
  </si>
  <si>
    <t>Estimate at Completion (2+3)</t>
  </si>
  <si>
    <t>Variance at completion (1-4)</t>
  </si>
  <si>
    <t>ETC</t>
  </si>
  <si>
    <t>EAC</t>
  </si>
  <si>
    <t>VAC</t>
  </si>
  <si>
    <t>$000</t>
  </si>
  <si>
    <t>Expense</t>
  </si>
  <si>
    <t>Cummulative Expenses</t>
  </si>
  <si>
    <t>FM.030 Expense Tracking Spreadsheet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</si>
</sst>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9">
    <font>
      <sz val="10"/>
      <name val="Arial"/>
    </font>
    <font>
      <b/>
      <sz val="10"/>
      <name val="Arial"/>
    </font>
    <font>
      <b/>
      <i/>
      <sz val="10"/>
      <color indexed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i/>
      <sz val="12"/>
      <color indexed="10"/>
      <name val="Arial"/>
      <family val="2"/>
    </font>
    <font>
      <sz val="10"/>
      <name val="Arial"/>
      <family val="2"/>
    </font>
    <font>
      <b/>
      <sz val="8"/>
      <color indexed="81"/>
      <name val="Tahoma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0" fillId="0" borderId="0" xfId="0" applyFill="1"/>
    <xf numFmtId="0" fontId="1" fillId="0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0" xfId="0" applyFill="1" applyBorder="1"/>
    <xf numFmtId="0" fontId="2" fillId="0" borderId="0" xfId="0" applyFont="1" applyBorder="1"/>
    <xf numFmtId="0" fontId="6" fillId="0" borderId="0" xfId="0" applyFont="1" applyBorder="1"/>
    <xf numFmtId="6" fontId="0" fillId="0" borderId="0" xfId="0" quotePrefix="1" applyNumberFormat="1"/>
    <xf numFmtId="0" fontId="3" fillId="0" borderId="0" xfId="0" applyFont="1"/>
    <xf numFmtId="0" fontId="8" fillId="0" borderId="0" xfId="0" applyFont="1" applyAlignment="1"/>
    <xf numFmtId="0" fontId="0" fillId="0" borderId="0" xfId="0" applyAlignment="1">
      <alignment horizontal="center"/>
    </xf>
    <xf numFmtId="0" fontId="8" fillId="0" borderId="0" xfId="0" applyFont="1" applyBorder="1" applyAlignment="1"/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Budget Variance</a:t>
            </a:r>
          </a:p>
        </c:rich>
      </c:tx>
      <c:layout>
        <c:manualLayout>
          <c:xMode val="edge"/>
          <c:yMode val="edge"/>
          <c:x val="0.32915426324060598"/>
          <c:y val="4.3902439024390262E-2"/>
        </c:manualLayout>
      </c:layout>
      <c:spPr>
        <a:noFill/>
        <a:ln w="25400">
          <a:noFill/>
        </a:ln>
      </c:spPr>
    </c:title>
    <c:view3D>
      <c:hPercent val="50"/>
      <c:depthPercent val="100"/>
      <c:rAngAx val="1"/>
    </c:view3D>
    <c:floor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1943607255962327"/>
          <c:y val="0.21951271797046015"/>
          <c:w val="0.73667824359302103"/>
          <c:h val="0.59512336871991389"/>
        </c:manualLayout>
      </c:layout>
      <c:bar3DChart>
        <c:barDir val="col"/>
        <c:grouping val="clustered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(Metric!$B$2,Metric!$E$2)</c:f>
              <c:strCache>
                <c:ptCount val="2"/>
                <c:pt idx="0">
                  <c:v>Budget</c:v>
                </c:pt>
                <c:pt idx="1">
                  <c:v>EAC</c:v>
                </c:pt>
              </c:strCache>
            </c:strRef>
          </c:cat>
          <c:val>
            <c:numRef>
              <c:f>(Metric!$B$3,Metric!$E$3)</c:f>
              <c:numCache>
                <c:formatCode>General</c:formatCode>
                <c:ptCount val="2"/>
                <c:pt idx="0">
                  <c:v>150</c:v>
                </c:pt>
                <c:pt idx="1">
                  <c:v>145</c:v>
                </c:pt>
              </c:numCache>
            </c:numRef>
          </c:val>
        </c:ser>
        <c:shape val="box"/>
        <c:axId val="77582336"/>
        <c:axId val="77583872"/>
        <c:axId val="0"/>
      </c:bar3DChart>
      <c:catAx>
        <c:axId val="77582336"/>
        <c:scaling>
          <c:orientation val="minMax"/>
        </c:scaling>
        <c:axPos val="b"/>
        <c:numFmt formatCode="General" sourceLinked="1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583872"/>
        <c:crosses val="autoZero"/>
        <c:auto val="1"/>
        <c:lblAlgn val="ctr"/>
        <c:lblOffset val="100"/>
        <c:tickLblSkip val="1"/>
        <c:tickMarkSkip val="1"/>
      </c:catAx>
      <c:valAx>
        <c:axId val="7758387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$000</a:t>
                </a:r>
              </a:p>
            </c:rich>
          </c:tx>
          <c:layout>
            <c:manualLayout>
              <c:xMode val="edge"/>
              <c:yMode val="edge"/>
              <c:x val="6.5830721003134807E-2"/>
              <c:y val="0.53170834133538181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5823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361950</xdr:colOff>
      <xdr:row>0</xdr:row>
      <xdr:rowOff>19050</xdr:rowOff>
    </xdr:from>
    <xdr:to>
      <xdr:col>38</xdr:col>
      <xdr:colOff>361950</xdr:colOff>
      <xdr:row>0</xdr:row>
      <xdr:rowOff>285750</xdr:rowOff>
    </xdr:to>
    <xdr:pic>
      <xdr:nvPicPr>
        <xdr:cNvPr id="3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678275" y="19050"/>
          <a:ext cx="8191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19050</xdr:rowOff>
    </xdr:from>
    <xdr:to>
      <xdr:col>6</xdr:col>
      <xdr:colOff>0</xdr:colOff>
      <xdr:row>16</xdr:row>
      <xdr:rowOff>28575</xdr:rowOff>
    </xdr:to>
    <xdr:graphicFrame macro="">
      <xdr:nvGraphicFramePr>
        <xdr:cNvPr id="103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U16"/>
  <sheetViews>
    <sheetView tabSelected="1" zoomScale="80" workbookViewId="0">
      <pane xSplit="2" ySplit="4" topLeftCell="C5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defaultRowHeight="12.75"/>
  <cols>
    <col min="1" max="1" width="5.140625" customWidth="1"/>
    <col min="2" max="2" width="33.85546875" style="2" customWidth="1"/>
    <col min="3" max="3" width="6.28515625" style="2" customWidth="1"/>
    <col min="4" max="10" width="6.140625" customWidth="1"/>
    <col min="11" max="11" width="9" customWidth="1"/>
    <col min="12" max="12" width="3.140625" style="4" customWidth="1"/>
    <col min="13" max="25" width="6.140625" customWidth="1"/>
    <col min="26" max="26" width="3" style="4" customWidth="1"/>
    <col min="27" max="39" width="6.140625" customWidth="1"/>
    <col min="40" max="40" width="3.28515625" style="4" customWidth="1"/>
    <col min="41" max="41" width="6.140625" customWidth="1"/>
    <col min="42" max="42" width="3" style="4" customWidth="1"/>
    <col min="43" max="43" width="6.140625" customWidth="1"/>
    <col min="44" max="44" width="2.7109375" style="4" customWidth="1"/>
    <col min="45" max="45" width="6.140625" style="6" customWidth="1"/>
    <col min="46" max="46" width="2.7109375" style="4" customWidth="1"/>
    <col min="47" max="47" width="9" customWidth="1"/>
  </cols>
  <sheetData>
    <row r="1" spans="1:47" ht="33.75" customHeight="1">
      <c r="B1" s="23" t="s">
        <v>30</v>
      </c>
      <c r="C1" s="23"/>
      <c r="D1" s="21"/>
      <c r="E1" s="21"/>
      <c r="F1" s="21"/>
      <c r="G1" s="21"/>
      <c r="L1"/>
      <c r="Z1"/>
      <c r="AL1" s="25"/>
      <c r="AM1" s="25"/>
      <c r="AN1" s="25"/>
      <c r="AO1" s="25"/>
      <c r="AP1" s="25"/>
      <c r="AQ1" s="25"/>
      <c r="AR1"/>
      <c r="AS1"/>
      <c r="AT1"/>
    </row>
    <row r="2" spans="1:47" ht="33.75" customHeight="1">
      <c r="B2" s="23"/>
      <c r="C2" s="23"/>
      <c r="D2" s="21"/>
      <c r="E2" s="21"/>
      <c r="F2" s="21"/>
      <c r="G2" s="21"/>
      <c r="L2"/>
      <c r="Z2"/>
      <c r="AL2" s="22"/>
      <c r="AM2" s="22"/>
      <c r="AN2" s="22"/>
      <c r="AO2" s="22"/>
      <c r="AP2" s="22"/>
      <c r="AQ2" s="22"/>
      <c r="AR2"/>
      <c r="AS2"/>
      <c r="AT2"/>
    </row>
    <row r="3" spans="1:47" ht="15">
      <c r="A3" s="15"/>
      <c r="K3" s="12">
        <v>2009</v>
      </c>
      <c r="M3" s="1">
        <f>K3+1</f>
        <v>2010</v>
      </c>
      <c r="Y3" s="1">
        <f>M3</f>
        <v>2010</v>
      </c>
      <c r="Z3" s="3"/>
      <c r="AA3" s="1">
        <f>K3+2</f>
        <v>2011</v>
      </c>
      <c r="AM3" s="1">
        <f>AA3</f>
        <v>2011</v>
      </c>
      <c r="AO3" s="1">
        <f>K3+3</f>
        <v>2012</v>
      </c>
      <c r="AQ3" s="1">
        <f>K3+4</f>
        <v>2013</v>
      </c>
      <c r="AS3" s="7">
        <f>K3+5</f>
        <v>2014</v>
      </c>
      <c r="AT3" s="3"/>
      <c r="AU3" s="1" t="s">
        <v>0</v>
      </c>
    </row>
    <row r="4" spans="1:47" s="1" customFormat="1">
      <c r="A4" s="13" t="s">
        <v>16</v>
      </c>
      <c r="B4" s="24"/>
      <c r="C4" s="24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0</v>
      </c>
      <c r="L4" s="9"/>
      <c r="M4" s="8" t="s">
        <v>10</v>
      </c>
      <c r="N4" s="8" t="s">
        <v>11</v>
      </c>
      <c r="O4" s="8" t="s">
        <v>12</v>
      </c>
      <c r="P4" s="8" t="s">
        <v>1</v>
      </c>
      <c r="Q4" s="8" t="s">
        <v>2</v>
      </c>
      <c r="R4" s="8" t="s">
        <v>3</v>
      </c>
      <c r="S4" s="8" t="s">
        <v>4</v>
      </c>
      <c r="T4" s="8" t="s">
        <v>5</v>
      </c>
      <c r="U4" s="8" t="s">
        <v>6</v>
      </c>
      <c r="V4" s="8" t="s">
        <v>7</v>
      </c>
      <c r="W4" s="8" t="s">
        <v>8</v>
      </c>
      <c r="X4" s="8" t="s">
        <v>9</v>
      </c>
      <c r="Y4" s="8" t="s">
        <v>0</v>
      </c>
      <c r="Z4" s="9"/>
      <c r="AA4" s="8" t="s">
        <v>10</v>
      </c>
      <c r="AB4" s="8" t="s">
        <v>11</v>
      </c>
      <c r="AC4" s="8" t="s">
        <v>12</v>
      </c>
      <c r="AD4" s="8" t="s">
        <v>1</v>
      </c>
      <c r="AE4" s="8" t="s">
        <v>2</v>
      </c>
      <c r="AF4" s="8" t="s">
        <v>3</v>
      </c>
      <c r="AG4" s="8" t="s">
        <v>4</v>
      </c>
      <c r="AH4" s="8" t="s">
        <v>5</v>
      </c>
      <c r="AI4" s="8" t="s">
        <v>6</v>
      </c>
      <c r="AJ4" s="8" t="s">
        <v>7</v>
      </c>
      <c r="AK4" s="8" t="s">
        <v>8</v>
      </c>
      <c r="AL4" s="8" t="s">
        <v>9</v>
      </c>
      <c r="AM4" s="8" t="s">
        <v>0</v>
      </c>
      <c r="AN4" s="9"/>
      <c r="AO4" s="8" t="s">
        <v>0</v>
      </c>
      <c r="AP4" s="9"/>
      <c r="AQ4" s="8" t="s">
        <v>0</v>
      </c>
      <c r="AR4" s="9"/>
      <c r="AS4" s="10" t="s">
        <v>0</v>
      </c>
      <c r="AT4" s="9"/>
      <c r="AU4" s="8" t="s">
        <v>13</v>
      </c>
    </row>
    <row r="5" spans="1:47">
      <c r="A5" s="14" t="s">
        <v>28</v>
      </c>
    </row>
    <row r="6" spans="1:47">
      <c r="A6" s="11">
        <v>1</v>
      </c>
      <c r="B6" s="2" t="s">
        <v>15</v>
      </c>
      <c r="D6">
        <v>30</v>
      </c>
      <c r="E6">
        <v>30</v>
      </c>
      <c r="F6">
        <v>30</v>
      </c>
      <c r="G6">
        <v>30</v>
      </c>
      <c r="H6">
        <v>20</v>
      </c>
      <c r="I6">
        <v>10</v>
      </c>
      <c r="K6">
        <f>SUM(C6:J6)</f>
        <v>150</v>
      </c>
      <c r="Y6">
        <f>SUM(M6:X6)</f>
        <v>0</v>
      </c>
      <c r="AM6">
        <f>SUM(AA6:AL6)</f>
        <v>0</v>
      </c>
      <c r="AO6">
        <v>0</v>
      </c>
      <c r="AQ6">
        <v>0</v>
      </c>
      <c r="AS6" s="6">
        <v>0</v>
      </c>
      <c r="AU6" s="2">
        <f>SUM(+K6+Y6+AM6+AO6+AQ6+AS6)</f>
        <v>150</v>
      </c>
    </row>
    <row r="7" spans="1:47">
      <c r="A7" s="11"/>
      <c r="AU7" s="2"/>
    </row>
    <row r="8" spans="1:47" s="2" customFormat="1">
      <c r="A8" s="17">
        <v>2</v>
      </c>
      <c r="B8" s="18" t="s">
        <v>20</v>
      </c>
      <c r="D8" s="18">
        <v>28</v>
      </c>
      <c r="E8" s="18">
        <v>27</v>
      </c>
      <c r="K8" s="2">
        <f>SUM(C8:J8)</f>
        <v>55</v>
      </c>
      <c r="L8" s="5"/>
      <c r="Y8">
        <f>SUM(M8:X8)</f>
        <v>0</v>
      </c>
      <c r="Z8" s="5"/>
      <c r="AM8">
        <f>SUM(AA8:AL8)</f>
        <v>0</v>
      </c>
      <c r="AN8" s="5"/>
      <c r="AP8" s="5"/>
      <c r="AR8" s="5"/>
      <c r="AS8" s="16"/>
      <c r="AT8" s="5"/>
      <c r="AU8" s="2">
        <f>SUM(+K8+Y8+AM8+AO8+AQ8+AS8)</f>
        <v>55</v>
      </c>
    </row>
    <row r="9" spans="1:47">
      <c r="A9" s="11">
        <v>3</v>
      </c>
      <c r="B9" s="2" t="s">
        <v>21</v>
      </c>
      <c r="F9">
        <v>30</v>
      </c>
      <c r="G9">
        <v>30</v>
      </c>
      <c r="H9">
        <v>20</v>
      </c>
      <c r="I9">
        <v>10</v>
      </c>
      <c r="K9" s="2">
        <f>SUM(C9:J9)</f>
        <v>90</v>
      </c>
      <c r="Y9">
        <f>SUM(M9:X9)</f>
        <v>0</v>
      </c>
      <c r="AM9">
        <f>SUM(AA9:AL9)</f>
        <v>0</v>
      </c>
      <c r="AU9" s="2">
        <f>SUM(+K9+Y9+AM9+AO9+AQ9+AS9)</f>
        <v>90</v>
      </c>
    </row>
    <row r="10" spans="1:47">
      <c r="A10" s="11">
        <v>4</v>
      </c>
      <c r="B10" s="2" t="s">
        <v>22</v>
      </c>
      <c r="C10" s="5"/>
      <c r="D10" s="4"/>
      <c r="E10" s="4"/>
      <c r="F10" s="4"/>
      <c r="G10" s="4"/>
      <c r="H10" s="4"/>
      <c r="I10" s="4"/>
      <c r="J10" s="4"/>
      <c r="K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O10" s="4"/>
      <c r="AQ10" s="4"/>
      <c r="AS10" s="4"/>
      <c r="AU10" s="2">
        <f>+AU8+AU9</f>
        <v>145</v>
      </c>
    </row>
    <row r="11" spans="1:47">
      <c r="A11" s="11"/>
      <c r="AU11" s="2"/>
    </row>
    <row r="12" spans="1:47">
      <c r="A12" s="11">
        <v>5</v>
      </c>
      <c r="B12" s="2" t="s">
        <v>23</v>
      </c>
      <c r="C12" s="5"/>
      <c r="D12" s="4"/>
      <c r="E12" s="4"/>
      <c r="F12" s="4"/>
      <c r="G12" s="4"/>
      <c r="H12" s="4"/>
      <c r="I12" s="4"/>
      <c r="J12" s="4"/>
      <c r="K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O12" s="4"/>
      <c r="AQ12" s="4"/>
      <c r="AS12" s="4"/>
      <c r="AU12">
        <f>+AU6-AU10</f>
        <v>5</v>
      </c>
    </row>
    <row r="16" spans="1:47">
      <c r="D16" t="s">
        <v>14</v>
      </c>
    </row>
  </sheetData>
  <mergeCells count="1">
    <mergeCell ref="AL1:AQ1"/>
  </mergeCells>
  <phoneticPr fontId="0" type="noConversion"/>
  <printOptions gridLines="1"/>
  <pageMargins left="0.2" right="0.26" top="1" bottom="0.76" header="0.5" footer="0.5"/>
  <pageSetup scale="95" fitToWidth="3" fitToHeight="5" orientation="landscape" r:id="rId1"/>
  <headerFooter alignWithMargins="0">
    <oddHeader>&amp;C&amp;14Cost Tracking Worksheet -
&lt;Project Name&gt;&amp;RPMM04.4</oddHeader>
    <oddFooter>&amp;L&amp;A&amp;CPage &amp;P&amp;R&amp;D 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selection activeCell="A4" sqref="A4"/>
    </sheetView>
  </sheetViews>
  <sheetFormatPr defaultRowHeight="12.75"/>
  <cols>
    <col min="1" max="1" width="22.28515625" bestFit="1" customWidth="1"/>
  </cols>
  <sheetData>
    <row r="1" spans="1:6">
      <c r="A1" s="20" t="s">
        <v>17</v>
      </c>
    </row>
    <row r="2" spans="1:6">
      <c r="A2" s="19" t="s">
        <v>27</v>
      </c>
      <c r="B2" s="4" t="s">
        <v>18</v>
      </c>
      <c r="C2" s="4" t="s">
        <v>19</v>
      </c>
      <c r="D2" s="4" t="s">
        <v>24</v>
      </c>
      <c r="E2" s="4" t="s">
        <v>25</v>
      </c>
      <c r="F2" s="4" t="s">
        <v>26</v>
      </c>
    </row>
    <row r="3" spans="1:6">
      <c r="A3" s="4" t="s">
        <v>29</v>
      </c>
      <c r="B3">
        <f>+Tracking!AU6</f>
        <v>150</v>
      </c>
      <c r="C3">
        <f>+Tracking!AU8</f>
        <v>55</v>
      </c>
      <c r="D3">
        <f>+Tracking!AU9</f>
        <v>90</v>
      </c>
      <c r="E3">
        <f>+Tracking!AU10</f>
        <v>145</v>
      </c>
      <c r="F3">
        <f>+Tracking!AU12</f>
        <v>5</v>
      </c>
    </row>
  </sheetData>
  <phoneticPr fontId="0" type="noConversion"/>
  <pageMargins left="0.75" right="0.75" top="1" bottom="1" header="0.5" footer="0.5"/>
  <pageSetup orientation="landscape" r:id="rId1"/>
  <headerFooter alignWithMargins="0">
    <oddHeader>&amp;RPMM04.4</oddHeader>
    <oddFooter>&amp;L&amp;A&amp;CPage &amp;P&amp;R&amp;D &amp;T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Tracking</vt:lpstr>
      <vt:lpstr>Metric</vt:lpstr>
      <vt:lpstr>Tracking!Print_Titles</vt:lpstr>
    </vt:vector>
  </TitlesOfParts>
  <Company>BEA Systems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FM.030 Expense Tracking Spreadsheet</dc:title>
  <dc:creator>Oracle Methods</dc:creator>
  <cp:keywords>OUM</cp:keywords>
  <dc:description>Copyright © 2010, 2011, Oracle and/or its affiliates.  All rights reserved.</dc:description>
  <cp:lastModifiedBy>masander</cp:lastModifiedBy>
  <cp:lastPrinted>2005-04-27T22:20:41Z</cp:lastPrinted>
  <dcterms:created xsi:type="dcterms:W3CDTF">1997-04-29T23:53:18Z</dcterms:created>
  <dcterms:modified xsi:type="dcterms:W3CDTF">2014-11-12T15:13:46Z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ols and Templates">
    <vt:lpwstr>*EXECUTION TEMPLATES</vt:lpwstr>
  </property>
</Properties>
</file>