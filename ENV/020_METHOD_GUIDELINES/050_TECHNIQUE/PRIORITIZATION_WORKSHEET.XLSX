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5480" windowHeight="10050"/>
  </bookViews>
  <sheets>
    <sheet name="Prioritization Worksheet" sheetId="1" r:id="rId1"/>
  </sheets>
  <calcPr calcId="125725"/>
</workbook>
</file>

<file path=xl/calcChain.xml><?xml version="1.0" encoding="utf-8"?>
<calcChain xmlns="http://schemas.openxmlformats.org/spreadsheetml/2006/main">
  <c r="O4" i="1"/>
  <c r="P4"/>
  <c r="Q4"/>
  <c r="O5"/>
  <c r="P5"/>
  <c r="O6"/>
  <c r="P6"/>
  <c r="O7"/>
  <c r="P7"/>
  <c r="Q7"/>
  <c r="O8"/>
  <c r="P8"/>
  <c r="O9"/>
  <c r="P9"/>
  <c r="O10"/>
  <c r="P10"/>
  <c r="Q10"/>
  <c r="O11"/>
  <c r="P11"/>
  <c r="O12"/>
  <c r="P12"/>
  <c r="O13"/>
  <c r="P13"/>
  <c r="Q13"/>
  <c r="O14"/>
  <c r="P14"/>
  <c r="O15"/>
  <c r="P15"/>
</calcChain>
</file>

<file path=xl/sharedStrings.xml><?xml version="1.0" encoding="utf-8"?>
<sst xmlns="http://schemas.openxmlformats.org/spreadsheetml/2006/main" count="41" uniqueCount="29">
  <si>
    <t>Category</t>
  </si>
  <si>
    <t>Item</t>
  </si>
  <si>
    <t>Concern</t>
  </si>
  <si>
    <t>Responses</t>
  </si>
  <si>
    <t>S</t>
  </si>
  <si>
    <t>U</t>
  </si>
  <si>
    <t>G</t>
  </si>
  <si>
    <t>Analysis</t>
  </si>
  <si>
    <t>Seriousness</t>
  </si>
  <si>
    <t>Urgency</t>
  </si>
  <si>
    <t>Growth</t>
  </si>
  <si>
    <t>Priority</t>
  </si>
  <si>
    <t>Category 1</t>
  </si>
  <si>
    <t>Item 1</t>
  </si>
  <si>
    <t>Concern 1</t>
  </si>
  <si>
    <t>Average</t>
  </si>
  <si>
    <t>Variation</t>
  </si>
  <si>
    <t>1 = Low</t>
  </si>
  <si>
    <t>3 = Medium</t>
  </si>
  <si>
    <t>5 = High</t>
  </si>
  <si>
    <t>Item 2</t>
  </si>
  <si>
    <t>Category 2</t>
  </si>
  <si>
    <t>Concern 2</t>
  </si>
  <si>
    <t>Concern 3</t>
  </si>
  <si>
    <t>Concern 4</t>
  </si>
  <si>
    <t>Item 3</t>
  </si>
  <si>
    <t>How serious is the concern to achieving the mission statement?</t>
  </si>
  <si>
    <t>How does the concern impact the long term mission if it is not addressed?</t>
  </si>
  <si>
    <t>How urgently do we need to address the concern?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</si>
</sst>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0" borderId="7" xfId="0" applyFont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S21"/>
  <sheetViews>
    <sheetView tabSelected="1" workbookViewId="0">
      <selection activeCell="O17" sqref="O17"/>
    </sheetView>
  </sheetViews>
  <sheetFormatPr defaultRowHeight="12.75"/>
  <cols>
    <col min="1" max="1" width="1" customWidth="1"/>
    <col min="2" max="2" width="10" bestFit="1" customWidth="1"/>
    <col min="3" max="3" width="11.28515625" bestFit="1" customWidth="1"/>
    <col min="5" max="5" width="2" customWidth="1"/>
    <col min="6" max="14" width="3.7109375" customWidth="1"/>
    <col min="15" max="17" width="9.7109375" customWidth="1"/>
  </cols>
  <sheetData>
    <row r="1" spans="2:19" ht="6" customHeight="1" thickBot="1"/>
    <row r="2" spans="2:19" ht="13.5" thickBot="1">
      <c r="B2" s="1"/>
      <c r="C2" s="1"/>
      <c r="D2" s="1"/>
      <c r="E2" s="1"/>
      <c r="F2" s="43" t="s">
        <v>3</v>
      </c>
      <c r="G2" s="44"/>
      <c r="H2" s="44"/>
      <c r="I2" s="44"/>
      <c r="J2" s="44"/>
      <c r="K2" s="44"/>
      <c r="L2" s="44"/>
      <c r="M2" s="44"/>
      <c r="N2" s="45"/>
      <c r="O2" s="43" t="s">
        <v>7</v>
      </c>
      <c r="P2" s="44"/>
      <c r="Q2" s="45"/>
      <c r="R2" s="1"/>
      <c r="S2" s="1"/>
    </row>
    <row r="3" spans="2:19" ht="13.5" thickBot="1">
      <c r="B3" s="16" t="s">
        <v>0</v>
      </c>
      <c r="C3" s="17" t="s">
        <v>1</v>
      </c>
      <c r="D3" s="18" t="s">
        <v>2</v>
      </c>
      <c r="E3" s="13"/>
      <c r="F3" s="24">
        <v>1</v>
      </c>
      <c r="G3" s="25">
        <v>2</v>
      </c>
      <c r="H3" s="25">
        <v>3</v>
      </c>
      <c r="I3" s="25">
        <v>4</v>
      </c>
      <c r="J3" s="25">
        <v>5</v>
      </c>
      <c r="K3" s="25">
        <v>6</v>
      </c>
      <c r="L3" s="25">
        <v>7</v>
      </c>
      <c r="M3" s="25">
        <v>8</v>
      </c>
      <c r="N3" s="26">
        <v>9</v>
      </c>
      <c r="O3" s="27" t="s">
        <v>15</v>
      </c>
      <c r="P3" s="28" t="s">
        <v>16</v>
      </c>
      <c r="Q3" s="29" t="s">
        <v>11</v>
      </c>
    </row>
    <row r="4" spans="2:19">
      <c r="B4" s="30" t="s">
        <v>12</v>
      </c>
      <c r="C4" s="33" t="s">
        <v>13</v>
      </c>
      <c r="D4" s="38" t="s">
        <v>14</v>
      </c>
      <c r="E4" s="14" t="s">
        <v>4</v>
      </c>
      <c r="F4" s="19">
        <v>5</v>
      </c>
      <c r="G4" s="20">
        <v>5</v>
      </c>
      <c r="H4" s="20">
        <v>5</v>
      </c>
      <c r="I4" s="20">
        <v>5</v>
      </c>
      <c r="J4" s="20">
        <v>5</v>
      </c>
      <c r="K4" s="20">
        <v>3</v>
      </c>
      <c r="L4" s="20">
        <v>1</v>
      </c>
      <c r="M4" s="20">
        <v>1</v>
      </c>
      <c r="N4" s="21">
        <v>5</v>
      </c>
      <c r="O4" s="22">
        <f t="shared" ref="O4:O15" si="0">AVERAGE(F4:N4)</f>
        <v>3.8888888888888888</v>
      </c>
      <c r="P4" s="23">
        <f>VAR(F4:N4)</f>
        <v>3.1111111111111107</v>
      </c>
      <c r="Q4" s="41">
        <f>AVERAGE(O4:O6)</f>
        <v>3.4814814814814814</v>
      </c>
    </row>
    <row r="5" spans="2:19">
      <c r="B5" s="31"/>
      <c r="C5" s="34"/>
      <c r="D5" s="39"/>
      <c r="E5" s="14" t="s">
        <v>5</v>
      </c>
      <c r="F5" s="5">
        <v>3</v>
      </c>
      <c r="G5" s="3">
        <v>3</v>
      </c>
      <c r="H5" s="3">
        <v>3</v>
      </c>
      <c r="I5" s="3">
        <v>3</v>
      </c>
      <c r="J5" s="3">
        <v>5</v>
      </c>
      <c r="K5" s="3">
        <v>5</v>
      </c>
      <c r="L5" s="3">
        <v>1</v>
      </c>
      <c r="M5" s="3">
        <v>1</v>
      </c>
      <c r="N5" s="6">
        <v>5</v>
      </c>
      <c r="O5" s="10">
        <f t="shared" si="0"/>
        <v>3.2222222222222223</v>
      </c>
      <c r="P5" s="4">
        <f t="shared" ref="P5:P15" si="1">VAR(F5:N5)</f>
        <v>2.4444444444444446</v>
      </c>
      <c r="Q5" s="42"/>
    </row>
    <row r="6" spans="2:19">
      <c r="B6" s="31"/>
      <c r="C6" s="34"/>
      <c r="D6" s="40"/>
      <c r="E6" s="14" t="s">
        <v>6</v>
      </c>
      <c r="F6" s="5">
        <v>5</v>
      </c>
      <c r="G6" s="3">
        <v>5</v>
      </c>
      <c r="H6" s="3">
        <v>1</v>
      </c>
      <c r="I6" s="3">
        <v>5</v>
      </c>
      <c r="J6" s="3">
        <v>3</v>
      </c>
      <c r="K6" s="3">
        <v>5</v>
      </c>
      <c r="L6" s="3">
        <v>1</v>
      </c>
      <c r="M6" s="3">
        <v>1</v>
      </c>
      <c r="N6" s="6">
        <v>4</v>
      </c>
      <c r="O6" s="10">
        <f t="shared" si="0"/>
        <v>3.3333333333333335</v>
      </c>
      <c r="P6" s="4">
        <f t="shared" si="1"/>
        <v>3.5</v>
      </c>
      <c r="Q6" s="42"/>
    </row>
    <row r="7" spans="2:19">
      <c r="B7" s="31"/>
      <c r="C7" s="34"/>
      <c r="D7" s="38" t="s">
        <v>22</v>
      </c>
      <c r="E7" s="14" t="s">
        <v>4</v>
      </c>
      <c r="F7" s="5">
        <v>2</v>
      </c>
      <c r="G7" s="3">
        <v>3</v>
      </c>
      <c r="H7" s="3">
        <v>2</v>
      </c>
      <c r="I7" s="3">
        <v>3</v>
      </c>
      <c r="J7" s="3">
        <v>1</v>
      </c>
      <c r="K7" s="3">
        <v>3</v>
      </c>
      <c r="L7" s="3">
        <v>1</v>
      </c>
      <c r="M7" s="3">
        <v>1</v>
      </c>
      <c r="N7" s="6">
        <v>3</v>
      </c>
      <c r="O7" s="10">
        <f t="shared" si="0"/>
        <v>2.1111111111111112</v>
      </c>
      <c r="P7" s="4">
        <f t="shared" si="1"/>
        <v>0.86111111111111072</v>
      </c>
      <c r="Q7" s="42">
        <f>AVERAGE(O7:O9)</f>
        <v>2.4444444444444442</v>
      </c>
    </row>
    <row r="8" spans="2:19">
      <c r="B8" s="31"/>
      <c r="C8" s="34"/>
      <c r="D8" s="39"/>
      <c r="E8" s="14" t="s">
        <v>5</v>
      </c>
      <c r="F8" s="5">
        <v>3</v>
      </c>
      <c r="G8" s="3">
        <v>3</v>
      </c>
      <c r="H8" s="3">
        <v>3</v>
      </c>
      <c r="I8" s="3">
        <v>3</v>
      </c>
      <c r="J8" s="3">
        <v>4</v>
      </c>
      <c r="K8" s="3">
        <v>2</v>
      </c>
      <c r="L8" s="3">
        <v>1</v>
      </c>
      <c r="M8" s="3">
        <v>1</v>
      </c>
      <c r="N8" s="6">
        <v>2</v>
      </c>
      <c r="O8" s="10">
        <f t="shared" si="0"/>
        <v>2.4444444444444446</v>
      </c>
      <c r="P8" s="4">
        <f t="shared" si="1"/>
        <v>1.0277777777777777</v>
      </c>
      <c r="Q8" s="42"/>
    </row>
    <row r="9" spans="2:19">
      <c r="B9" s="31"/>
      <c r="C9" s="37"/>
      <c r="D9" s="40"/>
      <c r="E9" s="14" t="s">
        <v>6</v>
      </c>
      <c r="F9" s="5">
        <v>5</v>
      </c>
      <c r="G9" s="3">
        <v>3</v>
      </c>
      <c r="H9" s="3">
        <v>1</v>
      </c>
      <c r="I9" s="3">
        <v>3</v>
      </c>
      <c r="J9" s="3">
        <v>3</v>
      </c>
      <c r="K9" s="3">
        <v>5</v>
      </c>
      <c r="L9" s="3">
        <v>1</v>
      </c>
      <c r="M9" s="3">
        <v>1</v>
      </c>
      <c r="N9" s="6">
        <v>3</v>
      </c>
      <c r="O9" s="10">
        <f t="shared" si="0"/>
        <v>2.7777777777777777</v>
      </c>
      <c r="P9" s="4">
        <f t="shared" si="1"/>
        <v>2.4444444444444446</v>
      </c>
      <c r="Q9" s="42"/>
    </row>
    <row r="10" spans="2:19">
      <c r="B10" s="31"/>
      <c r="C10" s="33" t="s">
        <v>20</v>
      </c>
      <c r="D10" s="38" t="s">
        <v>23</v>
      </c>
      <c r="E10" s="14" t="s">
        <v>4</v>
      </c>
      <c r="F10" s="5">
        <v>5</v>
      </c>
      <c r="G10" s="3">
        <v>5</v>
      </c>
      <c r="H10" s="3">
        <v>5</v>
      </c>
      <c r="I10" s="3">
        <v>5</v>
      </c>
      <c r="J10" s="3">
        <v>5</v>
      </c>
      <c r="K10" s="3">
        <v>3</v>
      </c>
      <c r="L10" s="3">
        <v>1</v>
      </c>
      <c r="M10" s="3">
        <v>1</v>
      </c>
      <c r="N10" s="6">
        <v>5</v>
      </c>
      <c r="O10" s="10">
        <f t="shared" si="0"/>
        <v>3.8888888888888888</v>
      </c>
      <c r="P10" s="4">
        <f t="shared" si="1"/>
        <v>3.1111111111111107</v>
      </c>
      <c r="Q10" s="42">
        <f>AVERAGE(O10:O12)</f>
        <v>3.4814814814814814</v>
      </c>
    </row>
    <row r="11" spans="2:19">
      <c r="B11" s="31"/>
      <c r="C11" s="34"/>
      <c r="D11" s="39"/>
      <c r="E11" s="14" t="s">
        <v>5</v>
      </c>
      <c r="F11" s="5">
        <v>3</v>
      </c>
      <c r="G11" s="3">
        <v>3</v>
      </c>
      <c r="H11" s="3">
        <v>3</v>
      </c>
      <c r="I11" s="3">
        <v>3</v>
      </c>
      <c r="J11" s="3">
        <v>5</v>
      </c>
      <c r="K11" s="3">
        <v>5</v>
      </c>
      <c r="L11" s="3">
        <v>1</v>
      </c>
      <c r="M11" s="3">
        <v>1</v>
      </c>
      <c r="N11" s="6">
        <v>5</v>
      </c>
      <c r="O11" s="10">
        <f t="shared" si="0"/>
        <v>3.2222222222222223</v>
      </c>
      <c r="P11" s="4">
        <f t="shared" si="1"/>
        <v>2.4444444444444446</v>
      </c>
      <c r="Q11" s="42"/>
    </row>
    <row r="12" spans="2:19">
      <c r="B12" s="36"/>
      <c r="C12" s="37"/>
      <c r="D12" s="40"/>
      <c r="E12" s="14" t="s">
        <v>6</v>
      </c>
      <c r="F12" s="5">
        <v>5</v>
      </c>
      <c r="G12" s="3">
        <v>5</v>
      </c>
      <c r="H12" s="3">
        <v>1</v>
      </c>
      <c r="I12" s="3">
        <v>5</v>
      </c>
      <c r="J12" s="3">
        <v>3</v>
      </c>
      <c r="K12" s="3">
        <v>5</v>
      </c>
      <c r="L12" s="3">
        <v>1</v>
      </c>
      <c r="M12" s="3">
        <v>1</v>
      </c>
      <c r="N12" s="6">
        <v>4</v>
      </c>
      <c r="O12" s="10">
        <f t="shared" si="0"/>
        <v>3.3333333333333335</v>
      </c>
      <c r="P12" s="4">
        <f t="shared" si="1"/>
        <v>3.5</v>
      </c>
      <c r="Q12" s="42"/>
    </row>
    <row r="13" spans="2:19">
      <c r="B13" s="30" t="s">
        <v>21</v>
      </c>
      <c r="C13" s="33" t="s">
        <v>25</v>
      </c>
      <c r="D13" s="38" t="s">
        <v>24</v>
      </c>
      <c r="E13" s="14" t="s">
        <v>4</v>
      </c>
      <c r="F13" s="5">
        <v>5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6">
        <v>5</v>
      </c>
      <c r="O13" s="10">
        <f t="shared" si="0"/>
        <v>5</v>
      </c>
      <c r="P13" s="4">
        <f t="shared" si="1"/>
        <v>0</v>
      </c>
      <c r="Q13" s="42">
        <f>AVERAGE(O13:O15)</f>
        <v>5</v>
      </c>
    </row>
    <row r="14" spans="2:19">
      <c r="B14" s="31"/>
      <c r="C14" s="34"/>
      <c r="D14" s="39"/>
      <c r="E14" s="14" t="s">
        <v>5</v>
      </c>
      <c r="F14" s="5">
        <v>5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6">
        <v>5</v>
      </c>
      <c r="O14" s="10">
        <f t="shared" si="0"/>
        <v>5</v>
      </c>
      <c r="P14" s="4">
        <f t="shared" si="1"/>
        <v>0</v>
      </c>
      <c r="Q14" s="42"/>
    </row>
    <row r="15" spans="2:19" ht="13.5" thickBot="1">
      <c r="B15" s="32"/>
      <c r="C15" s="35"/>
      <c r="D15" s="46"/>
      <c r="E15" s="15" t="s">
        <v>6</v>
      </c>
      <c r="F15" s="7">
        <v>5</v>
      </c>
      <c r="G15" s="8">
        <v>5</v>
      </c>
      <c r="H15" s="8">
        <v>5</v>
      </c>
      <c r="I15" s="8">
        <v>5</v>
      </c>
      <c r="J15" s="8">
        <v>5</v>
      </c>
      <c r="K15" s="8">
        <v>5</v>
      </c>
      <c r="L15" s="8">
        <v>5</v>
      </c>
      <c r="M15" s="8">
        <v>5</v>
      </c>
      <c r="N15" s="9">
        <v>5</v>
      </c>
      <c r="O15" s="11">
        <f t="shared" si="0"/>
        <v>5</v>
      </c>
      <c r="P15" s="12">
        <f t="shared" si="1"/>
        <v>0</v>
      </c>
      <c r="Q15" s="47"/>
    </row>
    <row r="19" spans="2:17">
      <c r="B19" s="2" t="s">
        <v>4</v>
      </c>
      <c r="C19" t="s">
        <v>8</v>
      </c>
      <c r="D19" t="s">
        <v>26</v>
      </c>
      <c r="Q19" t="s">
        <v>19</v>
      </c>
    </row>
    <row r="20" spans="2:17">
      <c r="B20" s="2" t="s">
        <v>5</v>
      </c>
      <c r="C20" t="s">
        <v>9</v>
      </c>
      <c r="D20" t="s">
        <v>28</v>
      </c>
      <c r="Q20" t="s">
        <v>18</v>
      </c>
    </row>
    <row r="21" spans="2:17">
      <c r="B21" s="2" t="s">
        <v>6</v>
      </c>
      <c r="C21" t="s">
        <v>10</v>
      </c>
      <c r="D21" t="s">
        <v>27</v>
      </c>
      <c r="Q21" t="s">
        <v>17</v>
      </c>
    </row>
  </sheetData>
  <mergeCells count="15">
    <mergeCell ref="Q4:Q6"/>
    <mergeCell ref="Q7:Q9"/>
    <mergeCell ref="Q10:Q12"/>
    <mergeCell ref="F2:N2"/>
    <mergeCell ref="O2:Q2"/>
    <mergeCell ref="D13:D15"/>
    <mergeCell ref="Q13:Q15"/>
    <mergeCell ref="B13:B15"/>
    <mergeCell ref="C13:C15"/>
    <mergeCell ref="B4:B12"/>
    <mergeCell ref="C4:C9"/>
    <mergeCell ref="D4:D6"/>
    <mergeCell ref="D7:D9"/>
    <mergeCell ref="D10:D12"/>
    <mergeCell ref="C10:C12"/>
  </mergeCells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Prioritization Worksheet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Oliver</dc:creator>
  <cp:lastModifiedBy>masander</cp:lastModifiedBy>
  <dcterms:created xsi:type="dcterms:W3CDTF">2009-07-30T09:48:37Z</dcterms:created>
  <dcterms:modified xsi:type="dcterms:W3CDTF">2014-10-03T20:54:37Z</dcterms:modified>
</cp:coreProperties>
</file>