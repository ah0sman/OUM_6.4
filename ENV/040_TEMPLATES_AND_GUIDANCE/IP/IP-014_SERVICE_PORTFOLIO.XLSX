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1230" yWindow="1095" windowWidth="15930" windowHeight="9375" tabRatio="395" firstSheet="1" activeTab="1"/>
  </bookViews>
  <sheets>
    <sheet name="BneWorkBookProperties" sheetId="4" state="veryHidden" r:id="rId1"/>
    <sheet name="Title Page" sheetId="24" r:id="rId2"/>
    <sheet name="General Instructions" sheetId="26" r:id="rId3"/>
    <sheet name="Document Control" sheetId="25" r:id="rId4"/>
    <sheet name="Service Portfolio" sheetId="15" r:id="rId5"/>
  </sheets>
  <definedNames>
    <definedName name="Author">'Document Control'!$C$10</definedName>
    <definedName name="ChangeDate">'Document Control'!$B$10:$B$14</definedName>
    <definedName name="CustomTops" localSheetId="3">'Document Control'!$C$10:$C$13</definedName>
    <definedName name="CustomTops" localSheetId="1">'Title Page'!$C$24:$C$26</definedName>
    <definedName name="Document_Ref">'Title Page'!$D$19</definedName>
    <definedName name="No">'Service Portfolio'!$B$6:$B$13</definedName>
    <definedName name="ObjectTypes">#REF!</definedName>
    <definedName name="Subject">'Title Page'!$C$14</definedName>
    <definedName name="Title">'Title Page'!$D$11</definedName>
  </definedNames>
  <calcPr calcId="125725"/>
</workbook>
</file>

<file path=xl/calcChain.xml><?xml version="1.0" encoding="utf-8"?>
<calcChain xmlns="http://schemas.openxmlformats.org/spreadsheetml/2006/main">
  <c r="E2" i="26"/>
  <c r="F1"/>
  <c r="A1"/>
  <c r="B19" i="25"/>
  <c r="B20"/>
  <c r="B21"/>
  <c r="B22"/>
  <c r="D16" i="24"/>
  <c r="D17"/>
  <c r="D18"/>
  <c r="D20"/>
  <c r="E2" i="25"/>
  <c r="F1"/>
  <c r="A1"/>
  <c r="E2" i="24"/>
  <c r="D1"/>
  <c r="A1"/>
</calcChain>
</file>

<file path=xl/comments1.xml><?xml version="1.0" encoding="utf-8"?>
<comments xmlns="http://schemas.openxmlformats.org/spreadsheetml/2006/main">
  <authors>
    <author>Volker Eckardt</author>
  </authors>
  <commentList>
    <comment ref="D16" authorId="0">
      <text>
        <r>
          <rPr>
            <sz val="8"/>
            <color indexed="81"/>
            <rFont val="Tahoma"/>
            <family val="2"/>
          </rPr>
          <t>Automatically retrieved from Document Control</t>
        </r>
      </text>
    </comment>
    <comment ref="D17" authorId="0">
      <text>
        <r>
          <rPr>
            <sz val="8"/>
            <color indexed="81"/>
            <rFont val="Tahoma"/>
            <family val="2"/>
          </rPr>
          <t>Automatically retrieved from document control</t>
        </r>
      </text>
    </comment>
    <comment ref="D18" authorId="0">
      <text>
        <r>
          <rPr>
            <sz val="8"/>
            <color indexed="81"/>
            <rFont val="Tahoma"/>
            <family val="2"/>
          </rPr>
          <t>Automatically retrieved from document control</t>
        </r>
      </text>
    </comment>
    <comment ref="D20" authorId="0">
      <text>
        <r>
          <rPr>
            <sz val="8"/>
            <color indexed="81"/>
            <rFont val="Tahoma"/>
            <family val="2"/>
          </rPr>
          <t>Automatically retrieved from document control</t>
        </r>
      </text>
    </comment>
  </commentList>
</comments>
</file>

<file path=xl/comments2.xml><?xml version="1.0" encoding="utf-8"?>
<comments xmlns="http://schemas.openxmlformats.org/spreadsheetml/2006/main">
  <authors>
    <author>Volker Eckardt</author>
  </authors>
  <commentList>
    <comment ref="B19" authorId="0">
      <text>
        <r>
          <rPr>
            <sz val="8"/>
            <color indexed="81"/>
            <rFont val="Tahoma"/>
            <family val="2"/>
          </rPr>
          <t>This Column contains a formula, just enter a name and the number will appear automatically</t>
        </r>
      </text>
    </comment>
  </commentList>
</comments>
</file>

<file path=xl/comments3.xml><?xml version="1.0" encoding="utf-8"?>
<comments xmlns="http://schemas.openxmlformats.org/spreadsheetml/2006/main">
  <authors>
    <author>Jan Kettenis</author>
  </authors>
  <commentList>
    <comment ref="D6" authorId="0">
      <text>
        <r>
          <rPr>
            <b/>
            <sz val="8"/>
            <color indexed="81"/>
            <rFont val="Tahoma"/>
            <family val="2"/>
          </rPr>
          <t>Enter a brief description explaining it's purpose (full description to be found in the Service Contract)</t>
        </r>
      </text>
    </comment>
    <comment ref="E6" authorId="0">
      <text>
        <r>
          <rPr>
            <b/>
            <sz val="8"/>
            <color indexed="81"/>
            <rFont val="Tahoma"/>
            <family val="2"/>
          </rPr>
          <t>Enter the status according to the Service Lifecycle status model</t>
        </r>
      </text>
    </comment>
    <comment ref="G6" authorId="0">
      <text>
        <r>
          <rPr>
            <b/>
            <sz val="8"/>
            <color indexed="81"/>
            <rFont val="Tahoma"/>
            <family val="2"/>
          </rPr>
          <t>Provide a reference to the Service Contract</t>
        </r>
      </text>
    </comment>
    <comment ref="H6" authorId="0">
      <text>
        <r>
          <rPr>
            <b/>
            <sz val="8"/>
            <color indexed="81"/>
            <rFont val="Tahoma"/>
            <family val="2"/>
          </rPr>
          <t>Provide a reference to the Service Interface</t>
        </r>
      </text>
    </comment>
    <comment ref="I6" authorId="0">
      <text>
        <r>
          <rPr>
            <b/>
            <sz val="8"/>
            <color indexed="81"/>
            <rFont val="Tahoma"/>
            <family val="2"/>
          </rPr>
          <t>Provide a reference to the implementing component(s)</t>
        </r>
      </text>
    </comment>
    <comment ref="J6" authorId="0">
      <text>
        <r>
          <rPr>
            <b/>
            <sz val="8"/>
            <color indexed="81"/>
            <rFont val="Tahoma"/>
            <family val="2"/>
          </rPr>
          <t>Provide a reference to the package the service belongs to</t>
        </r>
      </text>
    </comment>
    <comment ref="L6" authorId="0">
      <text>
        <r>
          <rPr>
            <b/>
            <sz val="8"/>
            <color indexed="81"/>
            <rFont val="Tahoma"/>
            <family val="2"/>
          </rPr>
          <t>Provide name and version number of which this version is a next version of (when applicable)</t>
        </r>
      </text>
    </comment>
    <comment ref="M6" authorId="0">
      <text>
        <r>
          <rPr>
            <b/>
            <sz val="8"/>
            <color indexed="81"/>
            <rFont val="Tahoma"/>
            <family val="2"/>
          </rPr>
          <t>Provide name and version number of which this version is a previous version of (when applicable)</t>
        </r>
      </text>
    </comment>
    <comment ref="R6" authorId="0">
      <text>
        <r>
          <rPr>
            <b/>
            <sz val="8"/>
            <color indexed="81"/>
            <rFont val="Tahoma"/>
            <family val="2"/>
          </rPr>
          <t>Enter the names of the application that this service is accessing</t>
        </r>
      </text>
    </comment>
    <comment ref="S6" authorId="0">
      <text>
        <r>
          <rPr>
            <b/>
            <sz val="8"/>
            <color indexed="81"/>
            <rFont val="Tahoma"/>
            <family val="2"/>
          </rPr>
          <t>Provide reference(s) to the Usage Agreements of the service that this service is consuming</t>
        </r>
      </text>
    </comment>
    <comment ref="T6" authorId="0">
      <text>
        <r>
          <rPr>
            <b/>
            <sz val="8"/>
            <color indexed="81"/>
            <rFont val="Tahoma"/>
            <family val="2"/>
          </rPr>
          <t>Provide references to the requirements for the service. This can either be a list of numbers of requirements, codes of one or more use cases, etc.</t>
        </r>
      </text>
    </comment>
    <comment ref="U6" authorId="0">
      <text>
        <r>
          <rPr>
            <b/>
            <sz val="8"/>
            <color indexed="81"/>
            <rFont val="Tahoma"/>
            <family val="2"/>
          </rPr>
          <t>Enter references to the models that define the service</t>
        </r>
      </text>
    </comment>
    <comment ref="V6" authorId="0">
      <text>
        <r>
          <rPr>
            <b/>
            <sz val="8"/>
            <color indexed="81"/>
            <rFont val="Tahoma"/>
            <family val="2"/>
          </rPr>
          <t>In case of a Data Service, provide the name of the (core) entity that this service is representing</t>
        </r>
      </text>
    </comment>
    <comment ref="AC6" authorId="0">
      <text>
        <r>
          <rPr>
            <b/>
            <sz val="8"/>
            <color indexed="81"/>
            <rFont val="Tahoma"/>
            <family val="2"/>
          </rPr>
          <t>Enter a reference to the Migration Strategy that applies to the service</t>
        </r>
      </text>
    </comment>
    <comment ref="AS6" authorId="0">
      <text>
        <r>
          <rPr>
            <b/>
            <sz val="8"/>
            <color indexed="81"/>
            <rFont val="Tahoma"/>
            <family val="2"/>
          </rPr>
          <t>Enter references to the applicable policies</t>
        </r>
      </text>
    </comment>
    <comment ref="AT6" authorId="0">
      <text>
        <r>
          <rPr>
            <b/>
            <sz val="8"/>
            <color indexed="81"/>
            <rFont val="Tahoma"/>
            <family val="2"/>
          </rPr>
          <t>Indicate if the service is compliant with all policies</t>
        </r>
      </text>
    </comment>
  </commentList>
</comments>
</file>

<file path=xl/sharedStrings.xml><?xml version="1.0" encoding="utf-8"?>
<sst xmlns="http://schemas.openxmlformats.org/spreadsheetml/2006/main" count="117" uniqueCount="113">
  <si>
    <t/>
  </si>
  <si>
    <t>No</t>
  </si>
  <si>
    <t>Change Record</t>
  </si>
  <si>
    <t>Document Control</t>
  </si>
  <si>
    <t>Date</t>
  </si>
  <si>
    <t>Author</t>
  </si>
  <si>
    <t>Version</t>
  </si>
  <si>
    <t>Change Reference</t>
  </si>
  <si>
    <t>Reviewers</t>
  </si>
  <si>
    <t>Name</t>
  </si>
  <si>
    <t>Position</t>
  </si>
  <si>
    <t>Note</t>
  </si>
  <si>
    <t>OUM</t>
  </si>
  <si>
    <t>&lt;Company Long Name&gt;</t>
  </si>
  <si>
    <t>&lt;Subject&gt;</t>
  </si>
  <si>
    <t>Author:</t>
  </si>
  <si>
    <t>&lt;Author&gt;</t>
  </si>
  <si>
    <t>Creation Date:</t>
  </si>
  <si>
    <t>Last Updated:</t>
  </si>
  <si>
    <t>Document Ref:</t>
  </si>
  <si>
    <t>Version:</t>
  </si>
  <si>
    <t>Approvals</t>
  </si>
  <si>
    <t>&lt;Approver 1&gt;</t>
  </si>
  <si>
    <t>&lt;Approver 2&gt;</t>
  </si>
  <si>
    <t>Approver</t>
  </si>
  <si>
    <t>Signature</t>
  </si>
  <si>
    <t>&lt;Document Reference Number&gt;</t>
  </si>
  <si>
    <t>Type</t>
  </si>
  <si>
    <t>The following provides an overview of all available SOA-services,</t>
  </si>
  <si>
    <t>Description</t>
  </si>
  <si>
    <t>Business Category</t>
  </si>
  <si>
    <t>Scope</t>
  </si>
  <si>
    <t>Status</t>
  </si>
  <si>
    <t>Boundaries</t>
  </si>
  <si>
    <t>Migration Strategy</t>
  </si>
  <si>
    <t>Defined Date Planned</t>
  </si>
  <si>
    <t>Defined Date Actual</t>
  </si>
  <si>
    <t>Designed Date Planned</t>
  </si>
  <si>
    <t>Designed Date Actual</t>
  </si>
  <si>
    <t>Tested Date Planned</t>
  </si>
  <si>
    <t>Tested Date Actual</t>
  </si>
  <si>
    <t>Operational Date Planned</t>
  </si>
  <si>
    <t>Operational Date Actual</t>
  </si>
  <si>
    <t>Retired Date Planned</t>
  </si>
  <si>
    <t>Retired Date Actual</t>
  </si>
  <si>
    <t>Policy Compliance</t>
  </si>
  <si>
    <t>DEFINITION</t>
  </si>
  <si>
    <t>PLANNED VS ACTUAL</t>
  </si>
  <si>
    <t>COMPLIANCY</t>
  </si>
  <si>
    <t>RISK SCORES</t>
  </si>
  <si>
    <t>Check Date</t>
  </si>
  <si>
    <t>Reuse</t>
  </si>
  <si>
    <t>BENEFIT SCORES</t>
  </si>
  <si>
    <t>Agility</t>
  </si>
  <si>
    <t>Compliance</t>
  </si>
  <si>
    <t>Enablement</t>
  </si>
  <si>
    <t>Skill Set</t>
  </si>
  <si>
    <t>Tool Set</t>
  </si>
  <si>
    <t>Project Impact</t>
  </si>
  <si>
    <t>QoS Feasibility</t>
  </si>
  <si>
    <t>IP.014 - Service Portfolio</t>
  </si>
  <si>
    <t>Last updated by XXXX on 17-12-2010</t>
  </si>
  <si>
    <t>Service Portfolio</t>
  </si>
  <si>
    <t>TAXONOMIES</t>
  </si>
  <si>
    <t>MIGRATION</t>
  </si>
  <si>
    <t>Enabled Date Planned</t>
  </si>
  <si>
    <t>Enabled Date Actual</t>
  </si>
  <si>
    <t>Compliancy Report</t>
  </si>
  <si>
    <t>PRIORITY</t>
  </si>
  <si>
    <t># Proposed</t>
  </si>
  <si>
    <t>Enterprise Priority Score</t>
  </si>
  <si>
    <t>Score Date</t>
  </si>
  <si>
    <t>Planned Next Yr</t>
  </si>
  <si>
    <t>Avg Cost / Consumer</t>
  </si>
  <si>
    <t>Validation Date</t>
  </si>
  <si>
    <t>Total Initial</t>
  </si>
  <si>
    <t>Total Average</t>
  </si>
  <si>
    <t>Total Last 5 Yr</t>
  </si>
  <si>
    <t>Total Current Yr</t>
  </si>
  <si>
    <t>COSTS</t>
  </si>
  <si>
    <t>STAKEHOLDERS</t>
  </si>
  <si>
    <t>Business Sponsors</t>
  </si>
  <si>
    <t>Owned By</t>
  </si>
  <si>
    <t>Checked By</t>
  </si>
  <si>
    <t>Prioritized By</t>
  </si>
  <si>
    <t>Validated By</t>
  </si>
  <si>
    <t>Policies</t>
  </si>
  <si>
    <t>VERSIONING</t>
  </si>
  <si>
    <t>Previous Version Of</t>
  </si>
  <si>
    <t>Next Version Of</t>
  </si>
  <si>
    <t>APPLICATIONS</t>
  </si>
  <si>
    <t>Accessing</t>
  </si>
  <si>
    <t>SERVICES</t>
  </si>
  <si>
    <t>Usage Agreements Consumed Services</t>
  </si>
  <si>
    <t>Models</t>
  </si>
  <si>
    <t>Requirements</t>
  </si>
  <si>
    <t>MODELING</t>
  </si>
  <si>
    <t>Entities</t>
  </si>
  <si>
    <t>Service Contract</t>
  </si>
  <si>
    <t>DEFINTION COMPONENTS</t>
  </si>
  <si>
    <t>Interface</t>
  </si>
  <si>
    <t>Implementation</t>
  </si>
  <si>
    <t>Package</t>
  </si>
  <si>
    <t>TESTING</t>
  </si>
  <si>
    <t>Test Plan</t>
  </si>
  <si>
    <t>PROJECTS</t>
  </si>
  <si>
    <t>Created By</t>
  </si>
  <si>
    <t>Used By</t>
  </si>
  <si>
    <t>Updated By</t>
  </si>
  <si>
    <t>Service Id</t>
  </si>
  <si>
    <t>General Instructions</t>
  </si>
  <si>
    <t>Use this template to create a Service Portfolio when there is no physical Enterprise Repository to capture services and their relationships to other IT assets.</t>
  </si>
  <si>
    <t>Also consider using this template to capture Candidate Services and Proposed Services for Envision tasks BA.070 and IP.020 and Implement tasks RA.025 and AN.080.  This will allow you to easily merge services into the Service Portfolio, at the appropriate time.</t>
  </si>
</sst>
</file>

<file path=xl/styles.xml><?xml version="1.0" encoding="utf-8"?>
<styleSheet xmlns="http://schemas.openxmlformats.org/spreadsheetml/2006/main">
  <numFmts count="2">
    <numFmt numFmtId="164" formatCode="0.0"/>
    <numFmt numFmtId="165" formatCode="[$$-409]#,##0"/>
  </numFmts>
  <fonts count="24">
    <font>
      <sz val="10"/>
      <name val="Arial"/>
    </font>
    <font>
      <sz val="9"/>
      <color indexed="61"/>
      <name val="Tahoma"/>
      <family val="2"/>
    </font>
    <font>
      <sz val="9"/>
      <color indexed="8"/>
      <name val="Arial"/>
      <family val="2"/>
    </font>
    <font>
      <sz val="9"/>
      <name val="Arial"/>
      <family val="2"/>
    </font>
    <font>
      <u/>
      <sz val="10"/>
      <color indexed="12"/>
      <name val="Arial"/>
      <family val="2"/>
    </font>
    <font>
      <sz val="8"/>
      <color indexed="81"/>
      <name val="Tahoma"/>
      <family val="2"/>
    </font>
    <font>
      <sz val="8"/>
      <name val="Arial"/>
      <family val="2"/>
    </font>
    <font>
      <sz val="10"/>
      <name val="Arial"/>
      <family val="2"/>
    </font>
    <font>
      <u/>
      <sz val="9"/>
      <color indexed="12"/>
      <name val="Arial"/>
      <family val="2"/>
    </font>
    <font>
      <sz val="9"/>
      <color indexed="61"/>
      <name val="Arial"/>
      <family val="2"/>
    </font>
    <font>
      <b/>
      <sz val="18"/>
      <name val="Arial"/>
      <family val="2"/>
    </font>
    <font>
      <b/>
      <sz val="14"/>
      <name val="Arial"/>
      <family val="2"/>
    </font>
    <font>
      <b/>
      <sz val="9"/>
      <color indexed="56"/>
      <name val="Arial"/>
      <family val="2"/>
    </font>
    <font>
      <b/>
      <sz val="16"/>
      <name val="Arial"/>
      <family val="2"/>
    </font>
    <font>
      <b/>
      <sz val="16"/>
      <color indexed="12"/>
      <name val="Arial"/>
      <family val="2"/>
    </font>
    <font>
      <b/>
      <sz val="18"/>
      <color indexed="12"/>
      <name val="Arial"/>
      <family val="2"/>
    </font>
    <font>
      <sz val="12"/>
      <name val="Arial"/>
      <family val="2"/>
    </font>
    <font>
      <u/>
      <sz val="10"/>
      <color indexed="12"/>
      <name val="Arial"/>
      <family val="2"/>
    </font>
    <font>
      <b/>
      <sz val="9"/>
      <color indexed="61"/>
      <name val="Arial"/>
      <family val="2"/>
    </font>
    <font>
      <b/>
      <sz val="8"/>
      <color indexed="81"/>
      <name val="Tahoma"/>
      <family val="2"/>
    </font>
    <font>
      <b/>
      <sz val="9"/>
      <color theme="4" tint="-0.499984740745262"/>
      <name val="Arial"/>
      <family val="2"/>
    </font>
    <font>
      <b/>
      <u/>
      <sz val="9"/>
      <color theme="4" tint="-0.499984740745262"/>
      <name val="Arial"/>
      <family val="2"/>
    </font>
    <font>
      <b/>
      <sz val="9"/>
      <color theme="3" tint="-0.249977111117893"/>
      <name val="Arial"/>
      <family val="2"/>
    </font>
    <font>
      <b/>
      <sz val="10"/>
      <color theme="3" tint="-0.249977111117893"/>
      <name val="Arial"/>
      <family val="2"/>
    </font>
  </fonts>
  <fills count="8">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solid">
        <fgColor indexed="63"/>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style="medium">
        <color theme="1" tint="0.499984740745262"/>
      </left>
      <right/>
      <top style="medium">
        <color theme="1" tint="0.499984740745262"/>
      </top>
      <bottom style="thin">
        <color theme="1" tint="0.499984740745262"/>
      </bottom>
      <diagonal/>
    </border>
    <border>
      <left/>
      <right/>
      <top style="medium">
        <color theme="1" tint="0.499984740745262"/>
      </top>
      <bottom style="thin">
        <color theme="1" tint="0.499984740745262"/>
      </bottom>
      <diagonal/>
    </border>
    <border>
      <left/>
      <right style="medium">
        <color theme="1" tint="0.499984740745262"/>
      </right>
      <top style="medium">
        <color theme="1" tint="0.499984740745262"/>
      </top>
      <bottom style="thin">
        <color theme="1" tint="0.499984740745262"/>
      </bottom>
      <diagonal/>
    </border>
    <border>
      <left/>
      <right style="thin">
        <color indexed="23"/>
      </right>
      <top/>
      <bottom style="medium">
        <color theme="1" tint="0.499984740745262"/>
      </bottom>
      <diagonal/>
    </border>
    <border>
      <left/>
      <right/>
      <top style="thin">
        <color theme="1" tint="0.499984740745262"/>
      </top>
      <bottom style="thin">
        <color theme="1" tint="0.499984740745262"/>
      </bottom>
      <diagonal/>
    </border>
    <border>
      <left/>
      <right style="medium">
        <color theme="1" tint="0.499984740745262"/>
      </right>
      <top style="thin">
        <color theme="1" tint="0.499984740745262"/>
      </top>
      <bottom style="thin">
        <color theme="1" tint="0.499984740745262"/>
      </bottom>
      <diagonal/>
    </border>
    <border>
      <left style="medium">
        <color theme="1" tint="0.499984740745262"/>
      </left>
      <right/>
      <top style="thin">
        <color theme="1" tint="0.499984740745262"/>
      </top>
      <bottom style="thin">
        <color theme="1" tint="0.499984740745262"/>
      </bottom>
      <diagonal/>
    </border>
    <border>
      <left style="medium">
        <color theme="1" tint="0.499984740745262"/>
      </left>
      <right style="thin">
        <color indexed="23"/>
      </right>
      <top style="thin">
        <color theme="1" tint="0.499984740745262"/>
      </top>
      <bottom style="thin">
        <color theme="1" tint="0.499984740745262"/>
      </bottom>
      <diagonal/>
    </border>
    <border>
      <left/>
      <right style="thin">
        <color indexed="23"/>
      </right>
      <top style="thin">
        <color theme="1" tint="0.499984740745262"/>
      </top>
      <bottom style="thin">
        <color theme="1" tint="0.499984740745262"/>
      </bottom>
      <diagonal/>
    </border>
    <border>
      <left style="thin">
        <color indexed="23"/>
      </left>
      <right style="thin">
        <color indexed="23"/>
      </right>
      <top style="thin">
        <color theme="1" tint="0.499984740745262"/>
      </top>
      <bottom style="thin">
        <color theme="1" tint="0.499984740745262"/>
      </bottom>
      <diagonal/>
    </border>
    <border>
      <left style="thin">
        <color indexed="23"/>
      </left>
      <right/>
      <top style="thin">
        <color theme="1" tint="0.499984740745262"/>
      </top>
      <bottom style="thin">
        <color theme="1" tint="0.499984740745262"/>
      </bottom>
      <diagonal/>
    </border>
    <border>
      <left style="medium">
        <color theme="1" tint="0.499984740745262"/>
      </left>
      <right style="thin">
        <color indexed="23"/>
      </right>
      <top/>
      <bottom style="medium">
        <color theme="1" tint="0.499984740745262"/>
      </bottom>
      <diagonal/>
    </border>
    <border>
      <left/>
      <right/>
      <top/>
      <bottom style="medium">
        <color theme="1" tint="0.499984740745262"/>
      </bottom>
      <diagonal/>
    </border>
    <border>
      <left/>
      <right style="thin">
        <color theme="1" tint="0.499984740745262"/>
      </right>
      <top style="thin">
        <color theme="1" tint="0.499984740745262"/>
      </top>
      <bottom style="thin">
        <color theme="1" tint="0.499984740745262"/>
      </bottom>
      <diagonal/>
    </border>
    <border>
      <left/>
      <right style="thin">
        <color theme="1" tint="0.499984740745262"/>
      </right>
      <top/>
      <bottom style="medium">
        <color theme="1" tint="0.499984740745262"/>
      </bottom>
      <diagonal/>
    </border>
    <border>
      <left style="thin">
        <color indexed="23"/>
      </left>
      <right style="medium">
        <color theme="1" tint="0.499984740745262"/>
      </right>
      <top style="thin">
        <color theme="1" tint="0.499984740745262"/>
      </top>
      <bottom style="thin">
        <color theme="1" tint="0.499984740745262"/>
      </bottom>
      <diagonal/>
    </border>
    <border>
      <left style="medium">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style="medium">
        <color theme="1" tint="0.499984740745262"/>
      </right>
      <top style="thin">
        <color theme="1" tint="0.499984740745262"/>
      </top>
      <bottom style="thin">
        <color theme="1" tint="0.499984740745262"/>
      </bottom>
      <diagonal/>
    </border>
    <border>
      <left style="thin">
        <color indexed="23"/>
      </left>
      <right style="medium">
        <color theme="1" tint="0.499984740745262"/>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style="thin">
        <color theme="1" tint="0.499984740745262"/>
      </right>
      <top/>
      <bottom style="medium">
        <color theme="1" tint="0.499984740745262"/>
      </bottom>
      <diagonal/>
    </border>
    <border>
      <left style="thin">
        <color theme="1" tint="0.499984740745262"/>
      </left>
      <right style="thin">
        <color theme="1" tint="0.499984740745262"/>
      </right>
      <top/>
      <bottom style="medium">
        <color theme="1" tint="0.499984740745262"/>
      </bottom>
      <diagonal/>
    </border>
    <border>
      <left style="medium">
        <color theme="1" tint="0.499984740745262"/>
      </left>
      <right style="thin">
        <color theme="1" tint="0.499984740745262"/>
      </right>
      <top style="medium">
        <color theme="1" tint="0.499984740745262"/>
      </top>
      <bottom style="thin">
        <color theme="1" tint="0.499984740745262"/>
      </bottom>
      <diagonal/>
    </border>
  </borders>
  <cellStyleXfs count="2">
    <xf numFmtId="0" fontId="0" fillId="0" borderId="0"/>
    <xf numFmtId="0" fontId="4" fillId="0" borderId="0" applyNumberFormat="0" applyFill="0" applyBorder="0" applyAlignment="0" applyProtection="0">
      <alignment vertical="top"/>
      <protection locked="0"/>
    </xf>
  </cellStyleXfs>
  <cellXfs count="123">
    <xf numFmtId="0" fontId="0" fillId="0" borderId="0" xfId="0"/>
    <xf numFmtId="49" fontId="0" fillId="0" borderId="0" xfId="0" applyNumberFormat="1" applyAlignment="1">
      <alignment horizontal="center"/>
    </xf>
    <xf numFmtId="49" fontId="2" fillId="2" borderId="1" xfId="0" applyNumberFormat="1" applyFont="1" applyFill="1" applyBorder="1" applyAlignment="1" applyProtection="1">
      <alignment vertical="top" wrapText="1"/>
      <protection locked="0"/>
    </xf>
    <xf numFmtId="0" fontId="3" fillId="3" borderId="1" xfId="0" applyFont="1" applyFill="1" applyBorder="1" applyAlignment="1">
      <alignment vertical="top" wrapText="1"/>
    </xf>
    <xf numFmtId="0" fontId="0" fillId="0" borderId="0" xfId="0" applyAlignment="1">
      <alignment vertical="center"/>
    </xf>
    <xf numFmtId="49" fontId="2" fillId="2" borderId="1" xfId="0" applyNumberFormat="1" applyFont="1" applyFill="1" applyBorder="1" applyAlignment="1" applyProtection="1">
      <alignment vertical="center" wrapText="1"/>
      <protection locked="0"/>
    </xf>
    <xf numFmtId="164" fontId="2" fillId="2" borderId="1" xfId="0" applyNumberFormat="1" applyFont="1" applyFill="1" applyBorder="1" applyAlignment="1" applyProtection="1">
      <alignment horizontal="left" vertical="center" wrapText="1"/>
      <protection locked="0"/>
    </xf>
    <xf numFmtId="164" fontId="2" fillId="2" borderId="1" xfId="0" applyNumberFormat="1" applyFont="1" applyFill="1" applyBorder="1" applyAlignment="1" applyProtection="1">
      <alignment horizontal="left" vertical="top" wrapText="1"/>
      <protection locked="0"/>
    </xf>
    <xf numFmtId="14" fontId="2" fillId="2" borderId="1" xfId="0" applyNumberFormat="1" applyFont="1" applyFill="1" applyBorder="1" applyAlignment="1" applyProtection="1">
      <alignment horizontal="center" vertical="top" wrapText="1"/>
      <protection locked="0"/>
    </xf>
    <xf numFmtId="14" fontId="2" fillId="2" borderId="1" xfId="0" applyNumberFormat="1" applyFont="1" applyFill="1" applyBorder="1" applyAlignment="1" applyProtection="1">
      <alignment horizontal="left" vertical="center" wrapText="1"/>
      <protection locked="0"/>
    </xf>
    <xf numFmtId="0" fontId="2" fillId="2" borderId="1" xfId="0" applyNumberFormat="1" applyFont="1" applyFill="1" applyBorder="1" applyAlignment="1" applyProtection="1">
      <alignment horizontal="center" vertical="top" wrapText="1"/>
      <protection locked="0"/>
    </xf>
    <xf numFmtId="0" fontId="6" fillId="0" borderId="0" xfId="0" applyFont="1"/>
    <xf numFmtId="49" fontId="7" fillId="0" borderId="0" xfId="0" applyNumberFormat="1" applyFont="1" applyAlignment="1">
      <alignment horizontal="center"/>
    </xf>
    <xf numFmtId="0" fontId="7" fillId="0" borderId="0" xfId="0" applyFont="1"/>
    <xf numFmtId="22" fontId="6" fillId="0" borderId="0" xfId="0" applyNumberFormat="1" applyFont="1" applyAlignment="1">
      <alignment horizontal="right"/>
    </xf>
    <xf numFmtId="0" fontId="8" fillId="3" borderId="0" xfId="1" applyFont="1" applyFill="1" applyAlignment="1" applyProtection="1"/>
    <xf numFmtId="49" fontId="9" fillId="3" borderId="0" xfId="0" applyNumberFormat="1" applyFont="1" applyFill="1" applyAlignment="1">
      <alignment horizontal="center"/>
    </xf>
    <xf numFmtId="0" fontId="9" fillId="3" borderId="0" xfId="0" applyFont="1" applyFill="1"/>
    <xf numFmtId="49" fontId="10" fillId="3" borderId="0" xfId="0" applyNumberFormat="1" applyFont="1" applyFill="1" applyAlignment="1">
      <alignment horizontal="left"/>
    </xf>
    <xf numFmtId="49" fontId="11" fillId="3" borderId="0" xfId="0" applyNumberFormat="1" applyFont="1" applyFill="1" applyAlignment="1">
      <alignment horizontal="left"/>
    </xf>
    <xf numFmtId="0" fontId="9" fillId="3" borderId="0" xfId="0" applyFont="1" applyFill="1" applyAlignment="1">
      <alignment vertical="center"/>
    </xf>
    <xf numFmtId="49" fontId="12" fillId="4" borderId="2" xfId="0" applyNumberFormat="1" applyFont="1" applyFill="1" applyBorder="1" applyAlignment="1" applyProtection="1">
      <alignment horizontal="center" vertical="center"/>
    </xf>
    <xf numFmtId="49" fontId="12" fillId="4" borderId="3" xfId="0" applyNumberFormat="1" applyFont="1" applyFill="1" applyBorder="1" applyAlignment="1" applyProtection="1">
      <alignment vertical="center"/>
    </xf>
    <xf numFmtId="49" fontId="12" fillId="4" borderId="3" xfId="0" applyNumberFormat="1" applyFont="1" applyFill="1" applyBorder="1" applyAlignment="1" applyProtection="1">
      <alignment horizontal="left" vertical="center"/>
    </xf>
    <xf numFmtId="49" fontId="12" fillId="4" borderId="4" xfId="0" applyNumberFormat="1" applyFont="1" applyFill="1" applyBorder="1" applyAlignment="1" applyProtection="1">
      <alignment vertical="center"/>
    </xf>
    <xf numFmtId="14" fontId="9" fillId="3" borderId="0" xfId="0" applyNumberFormat="1" applyFont="1" applyFill="1" applyAlignment="1">
      <alignment horizontal="center"/>
    </xf>
    <xf numFmtId="164" fontId="9" fillId="3" borderId="0" xfId="0" applyNumberFormat="1" applyFont="1" applyFill="1" applyAlignment="1">
      <alignment horizontal="left"/>
    </xf>
    <xf numFmtId="49" fontId="13" fillId="3" borderId="0" xfId="0" applyNumberFormat="1" applyFont="1" applyFill="1" applyAlignment="1">
      <alignment horizontal="left"/>
    </xf>
    <xf numFmtId="0" fontId="14" fillId="3" borderId="0" xfId="0" applyFont="1" applyFill="1"/>
    <xf numFmtId="49" fontId="15" fillId="3" borderId="0" xfId="0" applyNumberFormat="1" applyFont="1" applyFill="1" applyAlignment="1">
      <alignment horizontal="left"/>
    </xf>
    <xf numFmtId="49" fontId="12" fillId="4" borderId="2" xfId="0" applyNumberFormat="1" applyFont="1" applyFill="1" applyBorder="1" applyAlignment="1" applyProtection="1">
      <alignment horizontal="left" vertical="center"/>
    </xf>
    <xf numFmtId="49" fontId="12" fillId="4" borderId="1" xfId="0" applyNumberFormat="1" applyFont="1" applyFill="1" applyBorder="1" applyAlignment="1" applyProtection="1">
      <alignment horizontal="left" vertical="center"/>
    </xf>
    <xf numFmtId="0" fontId="16" fillId="3" borderId="0" xfId="0" applyFont="1" applyFill="1"/>
    <xf numFmtId="0" fontId="17" fillId="3" borderId="0" xfId="1" applyFont="1" applyFill="1" applyAlignment="1" applyProtection="1">
      <alignment horizontal="right"/>
    </xf>
    <xf numFmtId="0" fontId="2" fillId="2" borderId="1" xfId="0" applyNumberFormat="1" applyFont="1" applyFill="1" applyBorder="1" applyAlignment="1" applyProtection="1">
      <alignment vertical="center" wrapText="1"/>
      <protection locked="0"/>
    </xf>
    <xf numFmtId="0" fontId="12" fillId="4" borderId="2" xfId="0" applyNumberFormat="1" applyFont="1" applyFill="1" applyBorder="1" applyAlignment="1" applyProtection="1">
      <alignment horizontal="center" vertical="center"/>
    </xf>
    <xf numFmtId="49" fontId="0" fillId="0" borderId="0" xfId="0" applyNumberFormat="1" applyAlignment="1">
      <alignment horizontal="left"/>
    </xf>
    <xf numFmtId="0" fontId="0" fillId="0" borderId="0" xfId="0" applyAlignment="1"/>
    <xf numFmtId="0" fontId="9" fillId="5" borderId="0" xfId="0" applyFont="1" applyFill="1"/>
    <xf numFmtId="0" fontId="17" fillId="5" borderId="0" xfId="1" applyFont="1" applyFill="1" applyAlignment="1" applyProtection="1"/>
    <xf numFmtId="49" fontId="9" fillId="5" borderId="0" xfId="0" applyNumberFormat="1" applyFont="1" applyFill="1" applyAlignment="1">
      <alignment horizontal="left"/>
    </xf>
    <xf numFmtId="0" fontId="9" fillId="5" borderId="0" xfId="0" applyFont="1" applyFill="1" applyAlignment="1">
      <alignment horizontal="right"/>
    </xf>
    <xf numFmtId="0" fontId="0" fillId="5" borderId="0" xfId="0" applyFill="1"/>
    <xf numFmtId="49" fontId="10" fillId="5" borderId="0" xfId="0" applyNumberFormat="1" applyFont="1" applyFill="1" applyAlignment="1">
      <alignment horizontal="left"/>
    </xf>
    <xf numFmtId="0" fontId="18" fillId="5" borderId="0" xfId="0" applyNumberFormat="1" applyFont="1" applyFill="1" applyAlignment="1">
      <alignment horizontal="left"/>
    </xf>
    <xf numFmtId="0" fontId="17" fillId="5" borderId="0" xfId="1" applyFont="1" applyFill="1" applyAlignment="1" applyProtection="1">
      <alignment horizontal="right"/>
    </xf>
    <xf numFmtId="0" fontId="9" fillId="5" borderId="0" xfId="0" applyFont="1" applyFill="1" applyAlignment="1"/>
    <xf numFmtId="0" fontId="20" fillId="6" borderId="7" xfId="0" applyFont="1" applyFill="1" applyBorder="1"/>
    <xf numFmtId="0" fontId="20" fillId="6" borderId="8" xfId="0" applyFont="1" applyFill="1" applyBorder="1"/>
    <xf numFmtId="0" fontId="20" fillId="6" borderId="9" xfId="0" applyFont="1" applyFill="1" applyBorder="1"/>
    <xf numFmtId="49" fontId="20" fillId="6" borderId="7" xfId="0" applyNumberFormat="1" applyFont="1" applyFill="1" applyBorder="1" applyAlignment="1">
      <alignment horizontal="left"/>
    </xf>
    <xf numFmtId="0" fontId="21" fillId="6" borderId="8" xfId="1" applyFont="1" applyFill="1" applyBorder="1" applyAlignment="1" applyProtection="1">
      <alignment horizontal="right"/>
    </xf>
    <xf numFmtId="0" fontId="2" fillId="0" borderId="10" xfId="0" applyNumberFormat="1" applyFont="1" applyFill="1" applyBorder="1" applyAlignment="1" applyProtection="1">
      <alignment vertical="top" wrapText="1"/>
      <protection locked="0"/>
    </xf>
    <xf numFmtId="0" fontId="6" fillId="0" borderId="10" xfId="0" applyNumberFormat="1" applyFont="1" applyFill="1" applyBorder="1" applyAlignment="1" applyProtection="1">
      <alignment vertical="top" wrapText="1"/>
    </xf>
    <xf numFmtId="0" fontId="22" fillId="6" borderId="11" xfId="0" applyFont="1" applyFill="1" applyBorder="1" applyAlignment="1">
      <alignment wrapText="1"/>
    </xf>
    <xf numFmtId="0" fontId="22" fillId="6" borderId="12" xfId="0" applyFont="1" applyFill="1" applyBorder="1" applyAlignment="1">
      <alignment wrapText="1"/>
    </xf>
    <xf numFmtId="49" fontId="22" fillId="6" borderId="13" xfId="0" applyNumberFormat="1" applyFont="1" applyFill="1" applyBorder="1" applyAlignment="1" applyProtection="1">
      <alignment horizontal="left" wrapText="1"/>
    </xf>
    <xf numFmtId="49" fontId="22" fillId="6" borderId="11" xfId="0" applyNumberFormat="1" applyFont="1" applyFill="1" applyBorder="1" applyAlignment="1" applyProtection="1">
      <alignment wrapText="1"/>
    </xf>
    <xf numFmtId="49" fontId="22" fillId="6" borderId="13" xfId="0" applyNumberFormat="1" applyFont="1" applyFill="1" applyBorder="1" applyAlignment="1" applyProtection="1">
      <alignment wrapText="1"/>
    </xf>
    <xf numFmtId="0" fontId="23" fillId="6" borderId="12" xfId="0" applyFont="1" applyFill="1" applyBorder="1" applyAlignment="1">
      <alignment wrapText="1"/>
    </xf>
    <xf numFmtId="0" fontId="23" fillId="6" borderId="13" xfId="0" applyFont="1" applyFill="1" applyBorder="1" applyAlignment="1">
      <alignment wrapText="1"/>
    </xf>
    <xf numFmtId="0" fontId="23" fillId="6" borderId="11" xfId="0" applyFont="1" applyFill="1" applyBorder="1" applyAlignment="1">
      <alignment wrapText="1"/>
    </xf>
    <xf numFmtId="0" fontId="2" fillId="2" borderId="14" xfId="0" applyNumberFormat="1" applyFont="1" applyFill="1" applyBorder="1" applyAlignment="1" applyProtection="1">
      <alignment vertical="top" wrapText="1"/>
      <protection locked="0"/>
    </xf>
    <xf numFmtId="0" fontId="2" fillId="2" borderId="15" xfId="0" applyNumberFormat="1" applyFont="1" applyFill="1" applyBorder="1" applyAlignment="1" applyProtection="1">
      <alignment vertical="top" wrapText="1"/>
      <protection locked="0"/>
    </xf>
    <xf numFmtId="0" fontId="6" fillId="0" borderId="16" xfId="0" applyNumberFormat="1" applyFont="1" applyFill="1" applyBorder="1" applyAlignment="1">
      <alignment vertical="top" wrapText="1"/>
    </xf>
    <xf numFmtId="0" fontId="2" fillId="2" borderId="11" xfId="0" applyNumberFormat="1" applyFont="1" applyFill="1" applyBorder="1" applyAlignment="1" applyProtection="1">
      <alignment vertical="top" wrapText="1"/>
      <protection locked="0"/>
    </xf>
    <xf numFmtId="0" fontId="6" fillId="0" borderId="17" xfId="0" applyNumberFormat="1" applyFont="1" applyFill="1" applyBorder="1" applyAlignment="1" applyProtection="1">
      <alignment vertical="top" wrapText="1"/>
    </xf>
    <xf numFmtId="0" fontId="6" fillId="0" borderId="17" xfId="0" applyNumberFormat="1" applyFont="1" applyFill="1" applyBorder="1" applyAlignment="1">
      <alignment vertical="top" wrapText="1"/>
    </xf>
    <xf numFmtId="0" fontId="2" fillId="0" borderId="11" xfId="0" applyNumberFormat="1" applyFont="1" applyFill="1" applyBorder="1" applyAlignment="1" applyProtection="1">
      <alignment vertical="top" wrapText="1"/>
      <protection locked="0"/>
    </xf>
    <xf numFmtId="0" fontId="2" fillId="0" borderId="14" xfId="0" applyNumberFormat="1" applyFont="1" applyFill="1" applyBorder="1" applyAlignment="1" applyProtection="1">
      <alignment vertical="top" wrapText="1"/>
      <protection locked="0"/>
    </xf>
    <xf numFmtId="0" fontId="2" fillId="0" borderId="15" xfId="0" applyNumberFormat="1" applyFont="1" applyFill="1" applyBorder="1" applyAlignment="1" applyProtection="1">
      <alignment vertical="top" wrapText="1"/>
      <protection locked="0"/>
    </xf>
    <xf numFmtId="0" fontId="2" fillId="0" borderId="18" xfId="0" applyNumberFormat="1" applyFont="1" applyFill="1" applyBorder="1" applyAlignment="1" applyProtection="1">
      <alignment vertical="top" wrapText="1"/>
      <protection locked="0"/>
    </xf>
    <xf numFmtId="0" fontId="2" fillId="0" borderId="19" xfId="0" applyNumberFormat="1" applyFont="1" applyFill="1" applyBorder="1" applyAlignment="1" applyProtection="1">
      <alignment vertical="top" wrapText="1"/>
      <protection locked="0"/>
    </xf>
    <xf numFmtId="0" fontId="2" fillId="2" borderId="20" xfId="0" applyNumberFormat="1" applyFont="1" applyFill="1" applyBorder="1" applyAlignment="1" applyProtection="1">
      <alignment vertical="top" wrapText="1"/>
      <protection locked="0"/>
    </xf>
    <xf numFmtId="0" fontId="2" fillId="0" borderId="20" xfId="0" applyNumberFormat="1" applyFont="1" applyFill="1" applyBorder="1" applyAlignment="1" applyProtection="1">
      <alignment vertical="top" wrapText="1"/>
      <protection locked="0"/>
    </xf>
    <xf numFmtId="0" fontId="2" fillId="0" borderId="21" xfId="0" applyNumberFormat="1" applyFont="1" applyFill="1" applyBorder="1" applyAlignment="1" applyProtection="1">
      <alignment vertical="top" wrapText="1"/>
      <protection locked="0"/>
    </xf>
    <xf numFmtId="0" fontId="0" fillId="5" borderId="0" xfId="0" applyFill="1" applyAlignment="1"/>
    <xf numFmtId="0" fontId="9" fillId="7" borderId="22" xfId="0" applyFont="1" applyFill="1" applyBorder="1" applyAlignment="1">
      <alignment vertical="top"/>
    </xf>
    <xf numFmtId="0" fontId="0" fillId="0" borderId="12" xfId="0" applyBorder="1" applyAlignment="1">
      <alignment vertical="top"/>
    </xf>
    <xf numFmtId="0" fontId="0" fillId="0" borderId="23" xfId="0" applyBorder="1" applyAlignment="1">
      <alignment vertical="top"/>
    </xf>
    <xf numFmtId="0" fontId="0" fillId="0" borderId="24" xfId="0" applyBorder="1" applyAlignment="1">
      <alignment vertical="top"/>
    </xf>
    <xf numFmtId="0" fontId="0" fillId="0" borderId="20" xfId="0" applyBorder="1" applyAlignment="1">
      <alignment vertical="top"/>
    </xf>
    <xf numFmtId="0" fontId="0" fillId="0" borderId="11" xfId="0" applyBorder="1" applyAlignment="1">
      <alignment vertical="top"/>
    </xf>
    <xf numFmtId="0" fontId="9" fillId="7" borderId="25" xfId="0" applyFont="1" applyFill="1" applyBorder="1" applyAlignment="1">
      <alignment vertical="top"/>
    </xf>
    <xf numFmtId="0" fontId="0" fillId="0" borderId="25" xfId="0" applyBorder="1" applyAlignment="1">
      <alignment vertical="top"/>
    </xf>
    <xf numFmtId="0" fontId="9" fillId="7" borderId="26" xfId="0" applyFont="1" applyFill="1" applyBorder="1" applyAlignment="1">
      <alignment vertical="top"/>
    </xf>
    <xf numFmtId="0" fontId="0" fillId="0" borderId="27" xfId="0" applyBorder="1" applyAlignment="1">
      <alignment vertical="top"/>
    </xf>
    <xf numFmtId="0" fontId="0" fillId="0" borderId="28" xfId="0" applyBorder="1" applyAlignment="1">
      <alignment vertical="top"/>
    </xf>
    <xf numFmtId="0" fontId="0" fillId="0" borderId="29" xfId="0" applyBorder="1" applyAlignment="1">
      <alignment vertical="top"/>
    </xf>
    <xf numFmtId="0" fontId="0" fillId="0" borderId="21" xfId="0" applyBorder="1" applyAlignment="1">
      <alignment vertical="top"/>
    </xf>
    <xf numFmtId="0" fontId="0" fillId="0" borderId="19" xfId="0" applyBorder="1" applyAlignment="1">
      <alignment vertical="top"/>
    </xf>
    <xf numFmtId="165" fontId="0" fillId="0" borderId="23" xfId="0" applyNumberFormat="1" applyBorder="1" applyAlignment="1">
      <alignment horizontal="right" vertical="top"/>
    </xf>
    <xf numFmtId="165" fontId="0" fillId="0" borderId="20" xfId="0" applyNumberFormat="1" applyBorder="1" applyAlignment="1">
      <alignment horizontal="right" vertical="top"/>
    </xf>
    <xf numFmtId="165" fontId="0" fillId="0" borderId="12" xfId="0" applyNumberFormat="1" applyBorder="1" applyAlignment="1">
      <alignment horizontal="right" vertical="top"/>
    </xf>
    <xf numFmtId="165" fontId="0" fillId="0" borderId="28" xfId="0" applyNumberFormat="1" applyBorder="1" applyAlignment="1">
      <alignment horizontal="right" vertical="top"/>
    </xf>
    <xf numFmtId="165" fontId="0" fillId="0" borderId="21" xfId="0" applyNumberFormat="1" applyBorder="1" applyAlignment="1">
      <alignment horizontal="right" vertical="top"/>
    </xf>
    <xf numFmtId="165" fontId="0" fillId="0" borderId="27" xfId="0" applyNumberFormat="1" applyBorder="1" applyAlignment="1">
      <alignment horizontal="right" vertical="top"/>
    </xf>
    <xf numFmtId="0" fontId="20" fillId="6" borderId="30" xfId="0" applyFont="1" applyFill="1" applyBorder="1"/>
    <xf numFmtId="0" fontId="23" fillId="6" borderId="23" xfId="0" applyFont="1" applyFill="1" applyBorder="1" applyAlignment="1">
      <alignment wrapText="1"/>
    </xf>
    <xf numFmtId="0" fontId="9" fillId="7" borderId="11" xfId="0" applyFont="1" applyFill="1" applyBorder="1" applyAlignment="1">
      <alignment vertical="top"/>
    </xf>
    <xf numFmtId="0" fontId="9" fillId="7" borderId="19" xfId="0" applyFont="1" applyFill="1" applyBorder="1" applyAlignment="1">
      <alignment vertical="top"/>
    </xf>
    <xf numFmtId="0" fontId="22" fillId="6" borderId="13" xfId="0" applyFont="1" applyFill="1" applyBorder="1" applyAlignment="1">
      <alignment wrapText="1"/>
    </xf>
    <xf numFmtId="0" fontId="9" fillId="7" borderId="12" xfId="0" applyFont="1" applyFill="1" applyBorder="1" applyAlignment="1">
      <alignment vertical="top"/>
    </xf>
    <xf numFmtId="0" fontId="9" fillId="7" borderId="27" xfId="0" applyFont="1" applyFill="1" applyBorder="1" applyAlignment="1">
      <alignment vertical="top"/>
    </xf>
    <xf numFmtId="0" fontId="9" fillId="7" borderId="23" xfId="0" applyFont="1" applyFill="1" applyBorder="1" applyAlignment="1">
      <alignment vertical="top"/>
    </xf>
    <xf numFmtId="0" fontId="9" fillId="7" borderId="28" xfId="0" applyFont="1" applyFill="1" applyBorder="1" applyAlignment="1">
      <alignment vertical="top"/>
    </xf>
    <xf numFmtId="0" fontId="9" fillId="7" borderId="24" xfId="0" applyFont="1" applyFill="1" applyBorder="1" applyAlignment="1">
      <alignment vertical="top"/>
    </xf>
    <xf numFmtId="0" fontId="9" fillId="7" borderId="29" xfId="0" applyFont="1" applyFill="1" applyBorder="1" applyAlignment="1">
      <alignment vertical="top"/>
    </xf>
    <xf numFmtId="0" fontId="9" fillId="7" borderId="20" xfId="0" applyFont="1" applyFill="1" applyBorder="1" applyAlignment="1">
      <alignment vertical="top"/>
    </xf>
    <xf numFmtId="0" fontId="9" fillId="7" borderId="21" xfId="0" applyFont="1" applyFill="1" applyBorder="1" applyAlignment="1">
      <alignment vertical="top"/>
    </xf>
    <xf numFmtId="49" fontId="20" fillId="6" borderId="8" xfId="0" applyNumberFormat="1" applyFont="1" applyFill="1" applyBorder="1" applyAlignment="1">
      <alignment horizontal="left"/>
    </xf>
    <xf numFmtId="0" fontId="2" fillId="2" borderId="23" xfId="0" applyNumberFormat="1" applyFont="1" applyFill="1" applyBorder="1" applyAlignment="1" applyProtection="1">
      <alignment horizontal="left" vertical="top" wrapText="1"/>
      <protection locked="0"/>
    </xf>
    <xf numFmtId="0" fontId="2" fillId="0" borderId="23" xfId="0" applyNumberFormat="1" applyFont="1" applyFill="1" applyBorder="1" applyAlignment="1" applyProtection="1">
      <alignment horizontal="left" vertical="top" wrapText="1"/>
      <protection locked="0"/>
    </xf>
    <xf numFmtId="0" fontId="2" fillId="0" borderId="28" xfId="0" applyNumberFormat="1" applyFont="1" applyFill="1" applyBorder="1" applyAlignment="1" applyProtection="1">
      <alignment horizontal="left" vertical="top" wrapText="1"/>
      <protection locked="0"/>
    </xf>
    <xf numFmtId="0" fontId="2" fillId="2" borderId="24" xfId="0" applyNumberFormat="1" applyFont="1" applyFill="1" applyBorder="1" applyAlignment="1" applyProtection="1">
      <alignment horizontal="left" vertical="top" wrapText="1"/>
      <protection locked="0"/>
    </xf>
    <xf numFmtId="0" fontId="2" fillId="0" borderId="24" xfId="0" applyNumberFormat="1" applyFont="1" applyFill="1" applyBorder="1" applyAlignment="1" applyProtection="1">
      <alignment horizontal="left" vertical="top" wrapText="1"/>
      <protection locked="0"/>
    </xf>
    <xf numFmtId="0" fontId="2" fillId="0" borderId="29" xfId="0" applyNumberFormat="1" applyFont="1" applyFill="1" applyBorder="1" applyAlignment="1" applyProtection="1">
      <alignment horizontal="left" vertical="top" wrapText="1"/>
      <protection locked="0"/>
    </xf>
    <xf numFmtId="0" fontId="9" fillId="3" borderId="0" xfId="0" applyFont="1" applyFill="1" applyAlignment="1">
      <alignment vertical="top"/>
    </xf>
    <xf numFmtId="14" fontId="6" fillId="0" borderId="0" xfId="0" applyNumberFormat="1" applyFont="1" applyAlignment="1">
      <alignment horizontal="right"/>
    </xf>
    <xf numFmtId="22" fontId="6" fillId="0" borderId="0" xfId="0" applyNumberFormat="1" applyFont="1" applyAlignment="1">
      <alignment horizontal="right"/>
    </xf>
    <xf numFmtId="14" fontId="2" fillId="2" borderId="6" xfId="0" applyNumberFormat="1" applyFont="1" applyFill="1" applyBorder="1" applyAlignment="1" applyProtection="1">
      <alignment horizontal="left" vertical="top" wrapText="1"/>
      <protection locked="0"/>
    </xf>
    <xf numFmtId="0" fontId="0" fillId="0" borderId="5" xfId="0" applyBorder="1" applyAlignment="1">
      <alignment horizontal="left" vertical="top" wrapText="1"/>
    </xf>
    <xf numFmtId="0" fontId="0" fillId="0" borderId="4" xfId="0"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E6EFF8"/>
      <rgbColor rgb="00FFFFFF"/>
      <rgbColor rgb="00000000"/>
      <rgbColor rgb="0048648C"/>
      <rgbColor rgb="00C9C9CB"/>
      <rgbColor rgb="00A3C2DF"/>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xdr:colOff>
      <xdr:row>27</xdr:row>
      <xdr:rowOff>123825</xdr:rowOff>
    </xdr:from>
    <xdr:to>
      <xdr:col>3</xdr:col>
      <xdr:colOff>352425</xdr:colOff>
      <xdr:row>30</xdr:row>
      <xdr:rowOff>9525</xdr:rowOff>
    </xdr:to>
    <xdr:pic>
      <xdr:nvPicPr>
        <xdr:cNvPr id="2100" name="Picture 2" descr="oracle-logo"/>
        <xdr:cNvPicPr>
          <a:picLocks noChangeAspect="1" noChangeArrowheads="1"/>
        </xdr:cNvPicPr>
      </xdr:nvPicPr>
      <xdr:blipFill>
        <a:blip xmlns:r="http://schemas.openxmlformats.org/officeDocument/2006/relationships" r:embed="rId1" cstate="print"/>
        <a:srcRect/>
        <a:stretch>
          <a:fillRect/>
        </a:stretch>
      </xdr:blipFill>
      <xdr:spPr bwMode="auto">
        <a:xfrm>
          <a:off x="533400" y="8248650"/>
          <a:ext cx="1781175" cy="371475"/>
        </a:xfrm>
        <a:prstGeom prst="rect">
          <a:avLst/>
        </a:prstGeom>
        <a:noFill/>
        <a:ln w="9525">
          <a:noFill/>
          <a:miter lim="800000"/>
          <a:headEnd/>
          <a:tailEnd/>
        </a:ln>
      </xdr:spPr>
    </xdr:pic>
    <xdr:clientData/>
  </xdr:twoCellAnchor>
  <xdr:twoCellAnchor editAs="oneCell">
    <xdr:from>
      <xdr:col>2</xdr:col>
      <xdr:colOff>0</xdr:colOff>
      <xdr:row>8</xdr:row>
      <xdr:rowOff>0</xdr:rowOff>
    </xdr:from>
    <xdr:to>
      <xdr:col>3</xdr:col>
      <xdr:colOff>3019425</xdr:colOff>
      <xdr:row>8</xdr:row>
      <xdr:rowOff>285750</xdr:rowOff>
    </xdr:to>
    <xdr:pic>
      <xdr:nvPicPr>
        <xdr:cNvPr id="2101"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23875" y="1295400"/>
          <a:ext cx="4457700" cy="285750"/>
        </a:xfrm>
        <a:prstGeom prst="rect">
          <a:avLst/>
        </a:prstGeom>
        <a:noFill/>
        <a:ln w="1">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2"/>
  <dimension ref="A1"/>
  <sheetViews>
    <sheetView workbookViewId="0"/>
  </sheetViews>
  <sheetFormatPr defaultRowHeight="12.75"/>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sheetPr codeName="Sheet17"/>
  <dimension ref="A1:F32"/>
  <sheetViews>
    <sheetView tabSelected="1" workbookViewId="0"/>
  </sheetViews>
  <sheetFormatPr defaultRowHeight="12.75"/>
  <cols>
    <col min="1" max="1" width="4.140625" customWidth="1"/>
    <col min="2" max="2" width="3.7109375" style="1" customWidth="1"/>
    <col min="3" max="3" width="21.5703125" customWidth="1"/>
    <col min="4" max="4" width="47.7109375" customWidth="1"/>
    <col min="5" max="6" width="5.28515625" customWidth="1"/>
  </cols>
  <sheetData>
    <row r="1" spans="1:6">
      <c r="A1" s="11" t="str">
        <f>Title</f>
        <v>IP.014 - Service Portfolio</v>
      </c>
      <c r="B1" s="12"/>
      <c r="C1" s="13"/>
      <c r="D1" s="119" t="str">
        <f>Document_Ref</f>
        <v>&lt;Document Reference Number&gt;</v>
      </c>
      <c r="E1" s="119"/>
      <c r="F1" s="119"/>
    </row>
    <row r="2" spans="1:6">
      <c r="A2" s="11"/>
      <c r="B2" s="12"/>
      <c r="C2" s="13"/>
      <c r="D2" s="13"/>
      <c r="E2" s="118">
        <f ca="1">NOW()</f>
        <v>41915.698517129633</v>
      </c>
      <c r="F2" s="118"/>
    </row>
    <row r="3" spans="1:6">
      <c r="A3" s="15"/>
      <c r="B3" s="16"/>
      <c r="C3" s="17"/>
      <c r="D3" s="17"/>
      <c r="E3" s="17"/>
      <c r="F3" s="17"/>
    </row>
    <row r="4" spans="1:6">
      <c r="A4" s="15"/>
      <c r="B4" s="16"/>
      <c r="C4" s="17"/>
      <c r="D4" s="17"/>
      <c r="E4" s="17"/>
      <c r="F4" s="17"/>
    </row>
    <row r="5" spans="1:6">
      <c r="A5" s="15"/>
      <c r="B5" s="16"/>
      <c r="C5" s="17"/>
      <c r="D5" s="17"/>
      <c r="E5" s="17"/>
      <c r="F5" s="17"/>
    </row>
    <row r="6" spans="1:6">
      <c r="A6" s="15"/>
      <c r="B6" s="16"/>
      <c r="C6" s="17"/>
      <c r="D6" s="17"/>
      <c r="E6" s="17"/>
      <c r="F6" s="17"/>
    </row>
    <row r="7" spans="1:6">
      <c r="A7" s="15"/>
      <c r="B7" s="16"/>
      <c r="C7" s="17"/>
      <c r="D7" s="17"/>
      <c r="E7" s="17"/>
      <c r="F7" s="17"/>
    </row>
    <row r="8" spans="1:6">
      <c r="A8" s="15"/>
      <c r="B8" s="16"/>
      <c r="C8" s="17"/>
      <c r="D8" s="17"/>
      <c r="E8" s="17"/>
      <c r="F8" s="17"/>
    </row>
    <row r="9" spans="1:6" ht="23.25">
      <c r="A9" s="17"/>
      <c r="B9" s="18"/>
      <c r="C9" s="17"/>
      <c r="D9" s="17"/>
      <c r="E9" s="17"/>
      <c r="F9" s="17"/>
    </row>
    <row r="10" spans="1:6" ht="23.25">
      <c r="A10" s="17"/>
      <c r="B10" s="18"/>
      <c r="C10" s="18" t="s">
        <v>12</v>
      </c>
      <c r="D10" s="17"/>
      <c r="E10" s="17"/>
      <c r="F10" s="17"/>
    </row>
    <row r="11" spans="1:6" ht="23.25">
      <c r="A11" s="17"/>
      <c r="B11" s="18"/>
      <c r="C11" s="27"/>
      <c r="D11" s="28" t="s">
        <v>60</v>
      </c>
      <c r="E11" s="17"/>
      <c r="F11" s="17"/>
    </row>
    <row r="12" spans="1:6" ht="23.25">
      <c r="A12" s="17"/>
      <c r="B12" s="18"/>
      <c r="C12" s="18"/>
      <c r="D12" s="17"/>
      <c r="E12" s="17"/>
      <c r="F12" s="17"/>
    </row>
    <row r="13" spans="1:6" ht="23.25">
      <c r="A13" s="17"/>
      <c r="B13" s="18"/>
      <c r="C13" s="29" t="s">
        <v>13</v>
      </c>
      <c r="D13" s="17"/>
      <c r="E13" s="17"/>
      <c r="F13" s="17"/>
    </row>
    <row r="14" spans="1:6" ht="23.25">
      <c r="A14" s="17"/>
      <c r="B14" s="18"/>
      <c r="C14" s="29" t="s">
        <v>14</v>
      </c>
      <c r="D14" s="17"/>
      <c r="E14" s="17"/>
      <c r="F14" s="17"/>
    </row>
    <row r="15" spans="1:6" ht="109.15" customHeight="1">
      <c r="A15" s="17"/>
      <c r="B15" s="18"/>
      <c r="C15" s="17"/>
      <c r="D15" s="17"/>
      <c r="E15" s="17"/>
      <c r="F15" s="17"/>
    </row>
    <row r="16" spans="1:6" ht="17.45" customHeight="1">
      <c r="A16" s="17"/>
      <c r="B16" s="18"/>
      <c r="C16" s="30" t="s">
        <v>15</v>
      </c>
      <c r="D16" s="34" t="str">
        <f>Author</f>
        <v>&lt;Author&gt;</v>
      </c>
      <c r="E16" s="17"/>
      <c r="F16" s="17"/>
    </row>
    <row r="17" spans="1:6" ht="17.45" customHeight="1">
      <c r="A17" s="17"/>
      <c r="B17" s="18"/>
      <c r="C17" s="30" t="s">
        <v>17</v>
      </c>
      <c r="D17" s="9">
        <f>MIN(ChangeDate)</f>
        <v>40179</v>
      </c>
      <c r="E17" s="17"/>
      <c r="F17" s="17"/>
    </row>
    <row r="18" spans="1:6" ht="17.45" customHeight="1">
      <c r="A18" s="17"/>
      <c r="B18" s="18"/>
      <c r="C18" s="30" t="s">
        <v>18</v>
      </c>
      <c r="D18" s="9">
        <f>MAX(ChangeDate)</f>
        <v>40179</v>
      </c>
      <c r="E18" s="17"/>
      <c r="F18" s="17"/>
    </row>
    <row r="19" spans="1:6" ht="17.45" customHeight="1">
      <c r="A19" s="17"/>
      <c r="B19" s="18"/>
      <c r="C19" s="30" t="s">
        <v>19</v>
      </c>
      <c r="D19" s="5" t="s">
        <v>26</v>
      </c>
      <c r="E19" s="17"/>
      <c r="F19" s="17"/>
    </row>
    <row r="20" spans="1:6" ht="17.45" customHeight="1">
      <c r="A20" s="17"/>
      <c r="B20" s="18"/>
      <c r="C20" s="31" t="s">
        <v>20</v>
      </c>
      <c r="D20" s="6" t="str">
        <f>SUBSTITUTE(MAX('Document Control'!D10:D14),",",".")</f>
        <v>0.1</v>
      </c>
      <c r="E20" s="17"/>
      <c r="F20" s="17"/>
    </row>
    <row r="21" spans="1:6" ht="71.45" customHeight="1">
      <c r="A21" s="17"/>
      <c r="B21" s="18"/>
      <c r="C21" s="17"/>
      <c r="D21" s="17"/>
      <c r="E21" s="17"/>
      <c r="F21" s="17"/>
    </row>
    <row r="22" spans="1:6" ht="23.25">
      <c r="A22" s="17"/>
      <c r="B22" s="18"/>
      <c r="C22" s="32" t="s">
        <v>21</v>
      </c>
      <c r="D22" s="17"/>
      <c r="E22" s="17"/>
      <c r="F22" s="17"/>
    </row>
    <row r="23" spans="1:6" s="4" customFormat="1" ht="26.45" customHeight="1">
      <c r="A23" s="20"/>
      <c r="B23" s="18"/>
      <c r="C23" s="30" t="s">
        <v>24</v>
      </c>
      <c r="D23" s="24" t="s">
        <v>25</v>
      </c>
      <c r="E23" s="20"/>
      <c r="F23" s="20"/>
    </row>
    <row r="24" spans="1:6" ht="23.25">
      <c r="A24" s="17"/>
      <c r="B24" s="18"/>
      <c r="C24" s="5" t="s">
        <v>22</v>
      </c>
      <c r="D24" s="5"/>
      <c r="E24" s="17"/>
      <c r="F24" s="17"/>
    </row>
    <row r="25" spans="1:6" ht="23.25">
      <c r="A25" s="17"/>
      <c r="B25" s="18"/>
      <c r="C25" s="5" t="s">
        <v>23</v>
      </c>
      <c r="D25" s="5"/>
      <c r="E25" s="17"/>
      <c r="F25" s="17"/>
    </row>
    <row r="26" spans="1:6" ht="23.25">
      <c r="A26" s="17"/>
      <c r="B26" s="18"/>
      <c r="C26" s="2"/>
      <c r="D26" s="2"/>
      <c r="E26" s="17"/>
      <c r="F26" s="17"/>
    </row>
    <row r="27" spans="1:6">
      <c r="A27" s="17"/>
      <c r="B27" s="16"/>
      <c r="C27" s="17"/>
      <c r="D27" s="17"/>
      <c r="E27" s="33"/>
      <c r="F27" s="33"/>
    </row>
    <row r="28" spans="1:6">
      <c r="A28" s="17"/>
      <c r="B28" s="16"/>
      <c r="C28" s="17"/>
      <c r="D28" s="17"/>
      <c r="E28" s="33"/>
      <c r="F28" s="33"/>
    </row>
    <row r="29" spans="1:6">
      <c r="A29" s="17"/>
      <c r="B29" s="16"/>
      <c r="C29" s="17"/>
      <c r="D29" s="17"/>
      <c r="E29" s="33"/>
      <c r="F29" s="33"/>
    </row>
    <row r="30" spans="1:6">
      <c r="A30" s="17"/>
      <c r="B30" s="16"/>
      <c r="C30" s="17"/>
      <c r="D30" s="17"/>
      <c r="E30" s="33"/>
      <c r="F30" s="33"/>
    </row>
    <row r="31" spans="1:6">
      <c r="A31" s="17"/>
      <c r="B31" s="16"/>
      <c r="C31" s="17"/>
      <c r="D31" s="17"/>
      <c r="E31" s="33"/>
      <c r="F31" s="33"/>
    </row>
    <row r="32" spans="1:6">
      <c r="A32" s="17"/>
      <c r="B32" s="16"/>
      <c r="C32" s="17"/>
      <c r="D32" s="17"/>
      <c r="E32" s="33"/>
      <c r="F32" s="33"/>
    </row>
  </sheetData>
  <mergeCells count="2">
    <mergeCell ref="E2:F2"/>
    <mergeCell ref="D1:F1"/>
  </mergeCells>
  <phoneticPr fontId="1" type="noConversion"/>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dimension ref="A1:F31"/>
  <sheetViews>
    <sheetView workbookViewId="0"/>
  </sheetViews>
  <sheetFormatPr defaultRowHeight="12.75"/>
  <cols>
    <col min="1" max="1" width="4.140625" customWidth="1"/>
    <col min="2" max="2" width="9.5703125" style="1" customWidth="1"/>
    <col min="3" max="3" width="21.5703125" customWidth="1"/>
    <col min="4" max="4" width="62.42578125" customWidth="1"/>
    <col min="5" max="5" width="33.85546875" customWidth="1"/>
    <col min="6" max="6" width="4.28515625" customWidth="1"/>
  </cols>
  <sheetData>
    <row r="1" spans="1:6">
      <c r="A1" s="11" t="str">
        <f>Title</f>
        <v>IP.014 - Service Portfolio</v>
      </c>
      <c r="B1" s="12"/>
      <c r="C1" s="13"/>
      <c r="D1" s="13"/>
      <c r="E1" s="13"/>
      <c r="F1" s="14" t="str">
        <f>Document_Ref</f>
        <v>&lt;Document Reference Number&gt;</v>
      </c>
    </row>
    <row r="2" spans="1:6">
      <c r="A2" s="11"/>
      <c r="B2" s="12"/>
      <c r="C2" s="13"/>
      <c r="D2" s="13"/>
      <c r="E2" s="118">
        <f ca="1">NOW()</f>
        <v>41915.698517129633</v>
      </c>
      <c r="F2" s="118"/>
    </row>
    <row r="3" spans="1:6">
      <c r="A3" s="15"/>
      <c r="B3" s="16"/>
      <c r="C3" s="17"/>
      <c r="D3" s="17"/>
      <c r="E3" s="17"/>
      <c r="F3" s="17"/>
    </row>
    <row r="4" spans="1:6">
      <c r="A4" s="15"/>
      <c r="B4" s="16"/>
      <c r="C4" s="17"/>
      <c r="D4" s="17"/>
      <c r="E4" s="17"/>
      <c r="F4" s="17"/>
    </row>
    <row r="5" spans="1:6" ht="23.25">
      <c r="A5" s="15"/>
      <c r="B5" s="18" t="s">
        <v>110</v>
      </c>
      <c r="C5" s="17"/>
      <c r="D5" s="17"/>
      <c r="E5" s="17"/>
      <c r="F5" s="17"/>
    </row>
    <row r="6" spans="1:6">
      <c r="A6" s="15"/>
      <c r="B6" s="16"/>
      <c r="C6" s="17"/>
      <c r="D6" s="17"/>
      <c r="E6" s="17"/>
      <c r="F6" s="17"/>
    </row>
    <row r="7" spans="1:6">
      <c r="A7" s="17">
        <v>1</v>
      </c>
      <c r="B7" s="120" t="s">
        <v>111</v>
      </c>
      <c r="C7" s="121"/>
      <c r="D7" s="121"/>
      <c r="E7" s="122"/>
      <c r="F7" s="17"/>
    </row>
    <row r="8" spans="1:6" ht="24.75" customHeight="1">
      <c r="A8" s="117">
        <v>2</v>
      </c>
      <c r="B8" s="120" t="s">
        <v>112</v>
      </c>
      <c r="C8" s="121"/>
      <c r="D8" s="121"/>
      <c r="E8" s="122"/>
      <c r="F8" s="17"/>
    </row>
    <row r="9" spans="1:6">
      <c r="A9" s="17"/>
      <c r="B9" s="25"/>
      <c r="C9" s="17"/>
      <c r="D9" s="26"/>
      <c r="E9" s="17"/>
      <c r="F9" s="17"/>
    </row>
    <row r="10" spans="1:6">
      <c r="A10" s="17"/>
      <c r="B10" s="25"/>
      <c r="C10" s="17"/>
      <c r="D10" s="26"/>
      <c r="E10" s="17"/>
      <c r="F10" s="17"/>
    </row>
    <row r="11" spans="1:6">
      <c r="A11" s="17"/>
      <c r="B11" s="25"/>
      <c r="C11" s="17"/>
      <c r="D11" s="26"/>
      <c r="E11" s="17"/>
      <c r="F11" s="17"/>
    </row>
    <row r="12" spans="1:6">
      <c r="A12" s="17"/>
      <c r="B12" s="25"/>
      <c r="C12" s="17"/>
      <c r="D12" s="26"/>
      <c r="E12" s="17"/>
      <c r="F12" s="17"/>
    </row>
    <row r="13" spans="1:6">
      <c r="A13" s="17"/>
      <c r="B13" s="16"/>
      <c r="C13" s="17"/>
      <c r="D13" s="17"/>
      <c r="E13" s="17"/>
      <c r="F13" s="17"/>
    </row>
    <row r="14" spans="1:6" ht="18" customHeight="1">
      <c r="B14"/>
    </row>
    <row r="15" spans="1:6" ht="11.45" customHeight="1">
      <c r="B15"/>
    </row>
    <row r="16" spans="1:6" s="4" customFormat="1" ht="26.45" customHeight="1"/>
    <row r="17" spans="2:2">
      <c r="B17"/>
    </row>
    <row r="18" spans="2:2">
      <c r="B18"/>
    </row>
    <row r="19" spans="2:2">
      <c r="B19"/>
    </row>
    <row r="20" spans="2:2">
      <c r="B20"/>
    </row>
    <row r="21" spans="2:2">
      <c r="B21"/>
    </row>
    <row r="22" spans="2:2">
      <c r="B22"/>
    </row>
    <row r="23" spans="2:2">
      <c r="B23"/>
    </row>
    <row r="24" spans="2:2" ht="10.15" customHeight="1">
      <c r="B24"/>
    </row>
    <row r="25" spans="2:2" s="4" customFormat="1" ht="26.45" customHeight="1"/>
    <row r="26" spans="2:2">
      <c r="B26"/>
    </row>
    <row r="27" spans="2:2">
      <c r="B27"/>
    </row>
    <row r="28" spans="2:2">
      <c r="B28"/>
    </row>
    <row r="29" spans="2:2">
      <c r="B29"/>
    </row>
    <row r="30" spans="2:2">
      <c r="B30"/>
    </row>
    <row r="31" spans="2:2">
      <c r="B31"/>
    </row>
  </sheetData>
  <mergeCells count="3">
    <mergeCell ref="E2:F2"/>
    <mergeCell ref="B7:E7"/>
    <mergeCell ref="B8:E8"/>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sheetPr codeName="Sheet18">
    <pageSetUpPr fitToPage="1"/>
  </sheetPr>
  <dimension ref="A1:F33"/>
  <sheetViews>
    <sheetView zoomScaleNormal="100" workbookViewId="0"/>
  </sheetViews>
  <sheetFormatPr defaultRowHeight="12.75"/>
  <cols>
    <col min="1" max="1" width="4.140625" customWidth="1"/>
    <col min="2" max="2" width="9.5703125" style="1" customWidth="1"/>
    <col min="3" max="4" width="21.5703125" customWidth="1"/>
    <col min="5" max="5" width="33.85546875" customWidth="1"/>
    <col min="6" max="6" width="4.28515625" customWidth="1"/>
  </cols>
  <sheetData>
    <row r="1" spans="1:6">
      <c r="A1" s="11" t="str">
        <f>Title</f>
        <v>IP.014 - Service Portfolio</v>
      </c>
      <c r="B1" s="12"/>
      <c r="C1" s="13"/>
      <c r="D1" s="13"/>
      <c r="E1" s="13"/>
      <c r="F1" s="14" t="str">
        <f>Document_Ref</f>
        <v>&lt;Document Reference Number&gt;</v>
      </c>
    </row>
    <row r="2" spans="1:6">
      <c r="A2" s="11"/>
      <c r="B2" s="12"/>
      <c r="C2" s="13"/>
      <c r="D2" s="13"/>
      <c r="E2" s="118">
        <f ca="1">NOW()</f>
        <v>41915.698517129633</v>
      </c>
      <c r="F2" s="118"/>
    </row>
    <row r="3" spans="1:6">
      <c r="A3" s="15"/>
      <c r="B3" s="16"/>
      <c r="C3" s="17"/>
      <c r="D3" s="17"/>
      <c r="E3" s="17"/>
      <c r="F3" s="17"/>
    </row>
    <row r="4" spans="1:6">
      <c r="A4" s="15"/>
      <c r="B4" s="16"/>
      <c r="C4" s="17"/>
      <c r="D4" s="17"/>
      <c r="E4" s="17"/>
      <c r="F4" s="17"/>
    </row>
    <row r="5" spans="1:6" ht="23.25">
      <c r="A5" s="15"/>
      <c r="B5" s="18" t="s">
        <v>3</v>
      </c>
      <c r="C5" s="17"/>
      <c r="D5" s="17"/>
      <c r="E5" s="17"/>
      <c r="F5" s="17"/>
    </row>
    <row r="6" spans="1:6">
      <c r="A6" s="15"/>
      <c r="B6" s="16"/>
      <c r="C6" s="17"/>
      <c r="D6" s="17"/>
      <c r="E6" s="17"/>
      <c r="F6" s="17"/>
    </row>
    <row r="7" spans="1:6" ht="18">
      <c r="A7" s="17"/>
      <c r="B7" s="19" t="s">
        <v>2</v>
      </c>
      <c r="C7" s="17"/>
      <c r="D7" s="17"/>
      <c r="E7" s="17"/>
      <c r="F7" s="17"/>
    </row>
    <row r="8" spans="1:6" ht="10.15" customHeight="1">
      <c r="A8" s="17"/>
      <c r="B8" s="19"/>
      <c r="C8" s="17"/>
      <c r="D8" s="17"/>
      <c r="E8" s="17"/>
      <c r="F8" s="17"/>
    </row>
    <row r="9" spans="1:6" s="4" customFormat="1" ht="26.45" customHeight="1">
      <c r="A9" s="20"/>
      <c r="B9" s="21" t="s">
        <v>4</v>
      </c>
      <c r="C9" s="22" t="s">
        <v>5</v>
      </c>
      <c r="D9" s="23" t="s">
        <v>6</v>
      </c>
      <c r="E9" s="24" t="s">
        <v>7</v>
      </c>
      <c r="F9" s="20"/>
    </row>
    <row r="10" spans="1:6">
      <c r="A10" s="17"/>
      <c r="B10" s="8">
        <v>40179</v>
      </c>
      <c r="C10" s="2" t="s">
        <v>16</v>
      </c>
      <c r="D10" s="7">
        <v>0.1</v>
      </c>
      <c r="E10" s="2"/>
      <c r="F10" s="17"/>
    </row>
    <row r="11" spans="1:6">
      <c r="A11" s="17"/>
      <c r="B11" s="8"/>
      <c r="C11" s="2"/>
      <c r="D11" s="7"/>
      <c r="E11" s="2"/>
      <c r="F11" s="17"/>
    </row>
    <row r="12" spans="1:6">
      <c r="A12" s="17"/>
      <c r="B12" s="8"/>
      <c r="C12" s="2"/>
      <c r="D12" s="7"/>
      <c r="E12" s="2"/>
      <c r="F12" s="17"/>
    </row>
    <row r="13" spans="1:6">
      <c r="A13" s="17"/>
      <c r="B13" s="8"/>
      <c r="C13" s="2"/>
      <c r="D13" s="7"/>
      <c r="E13" s="2"/>
      <c r="F13" s="17"/>
    </row>
    <row r="14" spans="1:6">
      <c r="A14" s="17"/>
      <c r="B14" s="25"/>
      <c r="C14" s="17"/>
      <c r="D14" s="26"/>
      <c r="E14" s="17"/>
      <c r="F14" s="17"/>
    </row>
    <row r="15" spans="1:6">
      <c r="A15" s="17"/>
      <c r="B15" s="16"/>
      <c r="C15" s="17"/>
      <c r="D15" s="17"/>
      <c r="E15" s="17"/>
      <c r="F15" s="17"/>
    </row>
    <row r="16" spans="1:6" ht="18" customHeight="1">
      <c r="A16" s="17"/>
      <c r="B16" s="19" t="s">
        <v>8</v>
      </c>
      <c r="C16" s="17"/>
      <c r="D16" s="17"/>
      <c r="E16" s="17"/>
      <c r="F16" s="17"/>
    </row>
    <row r="17" spans="1:6" ht="11.45" customHeight="1">
      <c r="A17" s="17"/>
      <c r="B17" s="19"/>
      <c r="C17" s="17"/>
      <c r="D17" s="17"/>
      <c r="E17" s="17"/>
      <c r="F17" s="17"/>
    </row>
    <row r="18" spans="1:6" s="4" customFormat="1" ht="26.45" customHeight="1">
      <c r="A18" s="20"/>
      <c r="B18" s="35" t="s">
        <v>1</v>
      </c>
      <c r="C18" s="22" t="s">
        <v>9</v>
      </c>
      <c r="D18" s="22" t="s">
        <v>10</v>
      </c>
      <c r="E18" s="24" t="s">
        <v>11</v>
      </c>
      <c r="F18" s="20"/>
    </row>
    <row r="19" spans="1:6">
      <c r="A19" s="17"/>
      <c r="B19" s="10" t="str">
        <f>IF(ISBLANK(C19),"",ROW()-ROW($B$18))</f>
        <v/>
      </c>
      <c r="C19" s="2"/>
      <c r="D19" s="2"/>
      <c r="E19" s="3"/>
      <c r="F19" s="17"/>
    </row>
    <row r="20" spans="1:6">
      <c r="A20" s="17"/>
      <c r="B20" s="10" t="str">
        <f>IF(ISBLANK(C20),"",ROW()-ROW($B$18))</f>
        <v/>
      </c>
      <c r="C20" s="2"/>
      <c r="D20" s="2"/>
      <c r="E20" s="3"/>
      <c r="F20" s="17"/>
    </row>
    <row r="21" spans="1:6">
      <c r="A21" s="17"/>
      <c r="B21" s="10" t="str">
        <f>IF(ISBLANK(C21),"",ROW()-ROW($B$18))</f>
        <v/>
      </c>
      <c r="C21" s="2"/>
      <c r="D21" s="2"/>
      <c r="E21" s="3"/>
      <c r="F21" s="17"/>
    </row>
    <row r="22" spans="1:6">
      <c r="A22" s="17"/>
      <c r="B22" s="10" t="str">
        <f>IF(ISBLANK(C22),"",ROW()-ROW($B$18))</f>
        <v/>
      </c>
      <c r="C22" s="2"/>
      <c r="D22" s="2"/>
      <c r="E22" s="3"/>
      <c r="F22" s="17"/>
    </row>
    <row r="23" spans="1:6">
      <c r="A23" s="15"/>
      <c r="B23" s="16"/>
      <c r="C23" s="17"/>
      <c r="D23" s="17"/>
      <c r="E23" s="17"/>
      <c r="F23" s="17"/>
    </row>
    <row r="24" spans="1:6">
      <c r="A24" s="15"/>
      <c r="B24" s="16"/>
      <c r="C24" s="17"/>
      <c r="D24" s="17"/>
      <c r="E24" s="17"/>
      <c r="F24" s="17"/>
    </row>
    <row r="25" spans="1:6">
      <c r="B25"/>
    </row>
    <row r="26" spans="1:6" ht="10.15" customHeight="1">
      <c r="B26"/>
    </row>
    <row r="27" spans="1:6" s="4" customFormat="1" ht="26.45" customHeight="1"/>
    <row r="28" spans="1:6">
      <c r="B28"/>
    </row>
    <row r="29" spans="1:6">
      <c r="B29"/>
    </row>
    <row r="30" spans="1:6">
      <c r="B30"/>
    </row>
    <row r="31" spans="1:6">
      <c r="B31"/>
    </row>
    <row r="32" spans="1:6">
      <c r="B32"/>
    </row>
    <row r="33" spans="2:2">
      <c r="B33"/>
    </row>
  </sheetData>
  <mergeCells count="1">
    <mergeCell ref="E2:F2"/>
  </mergeCells>
  <phoneticPr fontId="1" type="noConversion"/>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legacyDrawing r:id="rId2"/>
</worksheet>
</file>

<file path=xl/worksheets/sheet5.xml><?xml version="1.0" encoding="utf-8"?>
<worksheet xmlns="http://schemas.openxmlformats.org/spreadsheetml/2006/main" xmlns:r="http://schemas.openxmlformats.org/officeDocument/2006/relationships">
  <sheetPr codeName="Sheet13">
    <pageSetUpPr fitToPage="1"/>
  </sheetPr>
  <dimension ref="A1:BO15"/>
  <sheetViews>
    <sheetView workbookViewId="0">
      <selection activeCell="D20" sqref="D20"/>
    </sheetView>
  </sheetViews>
  <sheetFormatPr defaultRowHeight="12.75"/>
  <cols>
    <col min="1" max="1" width="4.140625" customWidth="1"/>
    <col min="2" max="2" width="8.140625" style="36" customWidth="1"/>
    <col min="3" max="3" width="25.140625" style="36" customWidth="1"/>
    <col min="4" max="4" width="27.85546875" customWidth="1"/>
    <col min="5" max="5" width="17.5703125" customWidth="1"/>
    <col min="6" max="6" width="9.5703125" customWidth="1"/>
    <col min="7" max="7" width="26.28515625" customWidth="1"/>
    <col min="8" max="8" width="22.140625" customWidth="1"/>
    <col min="9" max="9" width="24.85546875" customWidth="1"/>
    <col min="10" max="10" width="22.42578125" customWidth="1"/>
    <col min="11" max="11" width="9.5703125" customWidth="1"/>
    <col min="12" max="12" width="20.85546875" customWidth="1"/>
    <col min="13" max="13" width="24.7109375" customWidth="1"/>
    <col min="14" max="14" width="20.5703125" customWidth="1"/>
    <col min="15" max="15" width="14.140625" customWidth="1"/>
    <col min="16" max="16" width="22.5703125" customWidth="1"/>
    <col min="17" max="17" width="12.7109375" customWidth="1"/>
    <col min="18" max="23" width="25.85546875" customWidth="1"/>
    <col min="24" max="28" width="12.7109375" customWidth="1"/>
    <col min="29" max="29" width="25.42578125" customWidth="1"/>
    <col min="30" max="32" width="19.5703125" customWidth="1"/>
    <col min="33" max="33" width="13" customWidth="1"/>
    <col min="34" max="34" width="12.42578125" customWidth="1"/>
    <col min="35" max="35" width="13.28515625" customWidth="1"/>
    <col min="36" max="37" width="11.7109375" customWidth="1"/>
    <col min="38" max="38" width="11.5703125" customWidth="1"/>
    <col min="39" max="39" width="13.5703125" customWidth="1"/>
    <col min="40" max="40" width="12.140625" customWidth="1"/>
    <col min="41" max="41" width="14.42578125" customWidth="1"/>
    <col min="42" max="42" width="11.85546875" customWidth="1"/>
    <col min="43" max="44" width="12.140625" customWidth="1"/>
    <col min="45" max="45" width="23.5703125" customWidth="1"/>
    <col min="46" max="46" width="13" customWidth="1"/>
    <col min="47" max="47" width="10" customWidth="1"/>
    <col min="48" max="48" width="21.140625" customWidth="1"/>
    <col min="49" max="49" width="8.28515625" customWidth="1"/>
    <col min="50" max="50" width="7.5703125" customWidth="1"/>
    <col min="51" max="51" width="7.7109375" customWidth="1"/>
    <col min="52" max="52" width="11.7109375" customWidth="1"/>
    <col min="53" max="53" width="12.28515625" customWidth="1"/>
    <col min="54" max="54" width="6.42578125" customWidth="1"/>
    <col min="55" max="55" width="6.28515625" customWidth="1"/>
    <col min="56" max="56" width="8" customWidth="1"/>
    <col min="57" max="57" width="10.5703125" customWidth="1"/>
    <col min="58" max="58" width="10.28515625" customWidth="1"/>
    <col min="59" max="59" width="13.7109375" customWidth="1"/>
    <col min="62" max="62" width="8.28515625" customWidth="1"/>
    <col min="64" max="64" width="10.85546875" customWidth="1"/>
    <col min="66" max="66" width="11" customWidth="1"/>
  </cols>
  <sheetData>
    <row r="1" spans="1:67">
      <c r="A1" s="39"/>
      <c r="B1" s="40"/>
      <c r="C1" s="40"/>
      <c r="D1" s="38"/>
      <c r="E1" s="41" t="s">
        <v>61</v>
      </c>
      <c r="F1" s="38"/>
      <c r="G1" s="38"/>
      <c r="H1" s="38"/>
      <c r="I1" s="38"/>
      <c r="J1" s="38"/>
      <c r="K1" s="38"/>
      <c r="L1" s="38"/>
      <c r="M1" s="38"/>
      <c r="N1" s="38"/>
      <c r="O1" s="38"/>
      <c r="P1" s="41"/>
      <c r="Q1" s="42"/>
      <c r="R1" s="42"/>
      <c r="S1" s="42"/>
      <c r="T1" s="42"/>
      <c r="U1" s="42"/>
      <c r="V1" s="42"/>
      <c r="W1" s="42"/>
      <c r="X1" s="42"/>
      <c r="Y1" s="42"/>
      <c r="Z1" s="42"/>
      <c r="AA1" s="42"/>
      <c r="AB1" s="42"/>
      <c r="AC1" s="42"/>
      <c r="AD1" s="42"/>
      <c r="AE1" s="42"/>
      <c r="AF1" s="42"/>
      <c r="AG1" s="42"/>
      <c r="AH1" s="42"/>
      <c r="AI1" s="42"/>
      <c r="AJ1" s="42"/>
      <c r="AK1" s="42"/>
      <c r="AL1" s="42"/>
      <c r="AM1" s="42"/>
      <c r="AN1" s="42"/>
      <c r="AO1" s="42"/>
      <c r="AP1" s="42"/>
      <c r="AQ1" s="42"/>
      <c r="AR1" s="42"/>
      <c r="AS1" s="42"/>
      <c r="AT1" s="42"/>
      <c r="AU1" s="42"/>
      <c r="AV1" s="42"/>
      <c r="AW1" s="42"/>
      <c r="AX1" s="42"/>
      <c r="AY1" s="42"/>
      <c r="AZ1" s="42"/>
      <c r="BA1" s="42"/>
      <c r="BB1" s="42"/>
      <c r="BC1" s="42"/>
      <c r="BD1" s="42"/>
      <c r="BE1" s="42"/>
      <c r="BF1" s="42"/>
      <c r="BG1" s="42"/>
      <c r="BH1" s="42"/>
      <c r="BI1" s="42"/>
      <c r="BJ1" s="42"/>
      <c r="BK1" s="42"/>
      <c r="BL1" s="42"/>
      <c r="BM1" s="42"/>
      <c r="BN1" s="42"/>
      <c r="BO1" s="42"/>
    </row>
    <row r="2" spans="1:67" ht="23.25">
      <c r="A2" s="38"/>
      <c r="B2" s="43" t="s">
        <v>62</v>
      </c>
      <c r="C2" s="43"/>
      <c r="D2" s="38"/>
      <c r="E2" s="38"/>
      <c r="F2" s="38"/>
      <c r="G2" s="38"/>
      <c r="H2" s="38"/>
      <c r="I2" s="38"/>
      <c r="J2" s="38"/>
      <c r="K2" s="38"/>
      <c r="L2" s="38"/>
      <c r="M2" s="38"/>
      <c r="N2" s="38"/>
      <c r="O2" s="38"/>
      <c r="P2" s="38"/>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row>
    <row r="3" spans="1:67">
      <c r="A3" s="38"/>
      <c r="B3" s="44" t="s">
        <v>28</v>
      </c>
      <c r="C3" s="44"/>
      <c r="D3" s="38"/>
      <c r="E3" s="38"/>
      <c r="F3" s="38"/>
      <c r="G3" s="38"/>
      <c r="H3" s="38"/>
      <c r="I3" s="38"/>
      <c r="J3" s="38"/>
      <c r="K3" s="38"/>
      <c r="L3" s="38"/>
      <c r="M3" s="38"/>
      <c r="N3" s="38"/>
      <c r="O3" s="38"/>
      <c r="P3" s="45"/>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row>
    <row r="4" spans="1:67" ht="13.5" thickBot="1">
      <c r="A4" s="38"/>
      <c r="B4" s="40"/>
      <c r="C4" s="40"/>
      <c r="D4" s="38"/>
      <c r="E4" s="38"/>
      <c r="F4" s="38"/>
      <c r="G4" s="38"/>
      <c r="H4" s="38"/>
      <c r="I4" s="38"/>
      <c r="J4" s="38"/>
      <c r="K4" s="38"/>
      <c r="L4" s="38"/>
      <c r="M4" s="38"/>
      <c r="N4" s="38"/>
      <c r="O4" s="38"/>
      <c r="P4" s="45"/>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row>
    <row r="5" spans="1:67">
      <c r="A5" s="38"/>
      <c r="B5" s="50" t="s">
        <v>46</v>
      </c>
      <c r="C5" s="110"/>
      <c r="D5" s="48"/>
      <c r="E5" s="48"/>
      <c r="F5" s="49"/>
      <c r="G5" s="47" t="s">
        <v>99</v>
      </c>
      <c r="H5" s="48"/>
      <c r="I5" s="48"/>
      <c r="J5" s="49"/>
      <c r="K5" s="48" t="s">
        <v>87</v>
      </c>
      <c r="L5" s="48"/>
      <c r="M5" s="48"/>
      <c r="N5" s="47" t="s">
        <v>63</v>
      </c>
      <c r="O5" s="48"/>
      <c r="P5" s="51"/>
      <c r="Q5" s="49"/>
      <c r="R5" s="48" t="s">
        <v>90</v>
      </c>
      <c r="S5" s="48" t="s">
        <v>92</v>
      </c>
      <c r="T5" s="47" t="s">
        <v>96</v>
      </c>
      <c r="U5" s="48"/>
      <c r="V5" s="49"/>
      <c r="W5" s="48" t="s">
        <v>103</v>
      </c>
      <c r="X5" s="47" t="s">
        <v>80</v>
      </c>
      <c r="Y5" s="48"/>
      <c r="Z5" s="48"/>
      <c r="AA5" s="48"/>
      <c r="AB5" s="49"/>
      <c r="AC5" s="49" t="s">
        <v>64</v>
      </c>
      <c r="AD5" s="48" t="s">
        <v>105</v>
      </c>
      <c r="AE5" s="48"/>
      <c r="AF5" s="48"/>
      <c r="AG5" s="47" t="s">
        <v>47</v>
      </c>
      <c r="AH5" s="48"/>
      <c r="AI5" s="48"/>
      <c r="AJ5" s="48"/>
      <c r="AK5" s="48"/>
      <c r="AL5" s="48"/>
      <c r="AM5" s="48"/>
      <c r="AN5" s="48"/>
      <c r="AO5" s="48"/>
      <c r="AP5" s="48"/>
      <c r="AQ5" s="48"/>
      <c r="AR5" s="49"/>
      <c r="AS5" s="97" t="s">
        <v>48</v>
      </c>
      <c r="AT5" s="48"/>
      <c r="AU5" s="48"/>
      <c r="AV5" s="49"/>
      <c r="AW5" s="47" t="s">
        <v>52</v>
      </c>
      <c r="AX5" s="48"/>
      <c r="AY5" s="48"/>
      <c r="AZ5" s="48"/>
      <c r="BA5" s="49"/>
      <c r="BB5" s="47" t="s">
        <v>49</v>
      </c>
      <c r="BC5" s="48"/>
      <c r="BD5" s="48"/>
      <c r="BE5" s="49"/>
      <c r="BF5" s="47" t="s">
        <v>68</v>
      </c>
      <c r="BG5" s="48"/>
      <c r="BH5" s="48"/>
      <c r="BI5" s="47" t="s">
        <v>79</v>
      </c>
      <c r="BJ5" s="48"/>
      <c r="BK5" s="48"/>
      <c r="BL5" s="48"/>
      <c r="BM5" s="48"/>
      <c r="BN5" s="49"/>
      <c r="BO5" s="42"/>
    </row>
    <row r="6" spans="1:67" s="37" customFormat="1" ht="26.25" customHeight="1">
      <c r="A6" s="46"/>
      <c r="B6" s="56" t="s">
        <v>109</v>
      </c>
      <c r="C6" s="56" t="s">
        <v>9</v>
      </c>
      <c r="D6" s="57" t="s">
        <v>29</v>
      </c>
      <c r="E6" s="54" t="s">
        <v>32</v>
      </c>
      <c r="F6" s="55" t="s">
        <v>74</v>
      </c>
      <c r="G6" s="101" t="s">
        <v>98</v>
      </c>
      <c r="H6" s="54" t="s">
        <v>100</v>
      </c>
      <c r="I6" s="54" t="s">
        <v>101</v>
      </c>
      <c r="J6" s="55" t="s">
        <v>102</v>
      </c>
      <c r="K6" s="57" t="s">
        <v>6</v>
      </c>
      <c r="L6" s="57" t="s">
        <v>89</v>
      </c>
      <c r="M6" s="57" t="s">
        <v>88</v>
      </c>
      <c r="N6" s="58" t="s">
        <v>30</v>
      </c>
      <c r="O6" s="57" t="s">
        <v>27</v>
      </c>
      <c r="P6" s="57" t="s">
        <v>31</v>
      </c>
      <c r="Q6" s="59" t="s">
        <v>33</v>
      </c>
      <c r="R6" s="61" t="s">
        <v>91</v>
      </c>
      <c r="S6" s="61" t="s">
        <v>93</v>
      </c>
      <c r="T6" s="60" t="s">
        <v>95</v>
      </c>
      <c r="U6" s="61" t="s">
        <v>94</v>
      </c>
      <c r="V6" s="59" t="s">
        <v>97</v>
      </c>
      <c r="W6" s="61" t="s">
        <v>104</v>
      </c>
      <c r="X6" s="60" t="s">
        <v>81</v>
      </c>
      <c r="Y6" s="61" t="s">
        <v>82</v>
      </c>
      <c r="Z6" s="61" t="s">
        <v>83</v>
      </c>
      <c r="AA6" s="61" t="s">
        <v>84</v>
      </c>
      <c r="AB6" s="59" t="s">
        <v>85</v>
      </c>
      <c r="AC6" s="59" t="s">
        <v>34</v>
      </c>
      <c r="AD6" s="61" t="s">
        <v>106</v>
      </c>
      <c r="AE6" s="61" t="s">
        <v>108</v>
      </c>
      <c r="AF6" s="61" t="s">
        <v>107</v>
      </c>
      <c r="AG6" s="60" t="s">
        <v>35</v>
      </c>
      <c r="AH6" s="61" t="s">
        <v>36</v>
      </c>
      <c r="AI6" s="61" t="s">
        <v>37</v>
      </c>
      <c r="AJ6" s="61" t="s">
        <v>38</v>
      </c>
      <c r="AK6" s="61" t="s">
        <v>39</v>
      </c>
      <c r="AL6" s="61" t="s">
        <v>40</v>
      </c>
      <c r="AM6" s="61" t="s">
        <v>65</v>
      </c>
      <c r="AN6" s="61" t="s">
        <v>66</v>
      </c>
      <c r="AO6" s="61" t="s">
        <v>41</v>
      </c>
      <c r="AP6" s="61" t="s">
        <v>42</v>
      </c>
      <c r="AQ6" s="61" t="s">
        <v>43</v>
      </c>
      <c r="AR6" s="59" t="s">
        <v>44</v>
      </c>
      <c r="AS6" s="98" t="s">
        <v>86</v>
      </c>
      <c r="AT6" s="61" t="s">
        <v>45</v>
      </c>
      <c r="AU6" s="61" t="s">
        <v>50</v>
      </c>
      <c r="AV6" s="59" t="s">
        <v>67</v>
      </c>
      <c r="AW6" s="60" t="s">
        <v>31</v>
      </c>
      <c r="AX6" s="61" t="s">
        <v>51</v>
      </c>
      <c r="AY6" s="61" t="s">
        <v>53</v>
      </c>
      <c r="AZ6" s="61" t="s">
        <v>54</v>
      </c>
      <c r="BA6" s="59" t="s">
        <v>55</v>
      </c>
      <c r="BB6" s="60" t="s">
        <v>56</v>
      </c>
      <c r="BC6" s="61" t="s">
        <v>57</v>
      </c>
      <c r="BD6" s="61" t="s">
        <v>58</v>
      </c>
      <c r="BE6" s="59" t="s">
        <v>59</v>
      </c>
      <c r="BF6" s="60" t="s">
        <v>69</v>
      </c>
      <c r="BG6" s="61" t="s">
        <v>70</v>
      </c>
      <c r="BH6" s="61" t="s">
        <v>71</v>
      </c>
      <c r="BI6" s="60" t="s">
        <v>75</v>
      </c>
      <c r="BJ6" s="61" t="s">
        <v>76</v>
      </c>
      <c r="BK6" s="61" t="s">
        <v>77</v>
      </c>
      <c r="BL6" s="61" t="s">
        <v>78</v>
      </c>
      <c r="BM6" s="61" t="s">
        <v>72</v>
      </c>
      <c r="BN6" s="59" t="s">
        <v>73</v>
      </c>
      <c r="BO6" s="76"/>
    </row>
    <row r="7" spans="1:67">
      <c r="A7" s="38"/>
      <c r="B7" s="111"/>
      <c r="C7" s="114"/>
      <c r="D7" s="73"/>
      <c r="E7" s="65"/>
      <c r="F7" s="77"/>
      <c r="G7" s="104"/>
      <c r="H7" s="106"/>
      <c r="I7" s="106"/>
      <c r="J7" s="102"/>
      <c r="K7" s="104"/>
      <c r="L7" s="108"/>
      <c r="M7" s="99"/>
      <c r="N7" s="62"/>
      <c r="O7" s="63"/>
      <c r="P7" s="64"/>
      <c r="Q7" s="78"/>
      <c r="R7" s="79"/>
      <c r="S7" s="82"/>
      <c r="T7" s="79"/>
      <c r="U7" s="80"/>
      <c r="V7" s="78"/>
      <c r="W7" s="82"/>
      <c r="X7" s="79"/>
      <c r="Y7" s="80"/>
      <c r="Z7" s="80"/>
      <c r="AA7" s="80"/>
      <c r="AB7" s="78"/>
      <c r="AC7" s="78"/>
      <c r="AD7" s="79"/>
      <c r="AE7" s="80"/>
      <c r="AF7" s="82"/>
      <c r="AG7" s="79"/>
      <c r="AH7" s="80"/>
      <c r="AI7" s="80"/>
      <c r="AJ7" s="80"/>
      <c r="AK7" s="80"/>
      <c r="AL7" s="80"/>
      <c r="AM7" s="80"/>
      <c r="AN7" s="80"/>
      <c r="AO7" s="80"/>
      <c r="AP7" s="80"/>
      <c r="AQ7" s="80"/>
      <c r="AR7" s="80"/>
      <c r="AS7" s="80"/>
      <c r="AT7" s="80"/>
      <c r="AU7" s="80"/>
      <c r="AV7" s="78"/>
      <c r="AW7" s="79"/>
      <c r="AX7" s="80"/>
      <c r="AY7" s="80"/>
      <c r="AZ7" s="80"/>
      <c r="BA7" s="78"/>
      <c r="BB7" s="79"/>
      <c r="BC7" s="80"/>
      <c r="BD7" s="81"/>
      <c r="BE7" s="78"/>
      <c r="BF7" s="79"/>
      <c r="BG7" s="81"/>
      <c r="BH7" s="82"/>
      <c r="BI7" s="91"/>
      <c r="BJ7" s="92"/>
      <c r="BK7" s="92"/>
      <c r="BL7" s="92"/>
      <c r="BM7" s="92"/>
      <c r="BN7" s="93"/>
      <c r="BO7" s="42"/>
    </row>
    <row r="8" spans="1:67">
      <c r="A8" s="38"/>
      <c r="B8" s="111"/>
      <c r="C8" s="114"/>
      <c r="D8" s="73"/>
      <c r="E8" s="65"/>
      <c r="F8" s="83"/>
      <c r="G8" s="104"/>
      <c r="H8" s="106"/>
      <c r="I8" s="106"/>
      <c r="J8" s="102"/>
      <c r="K8" s="104"/>
      <c r="L8" s="108"/>
      <c r="M8" s="99"/>
      <c r="N8" s="62"/>
      <c r="O8" s="63"/>
      <c r="P8" s="66"/>
      <c r="Q8" s="84"/>
      <c r="R8" s="79"/>
      <c r="S8" s="82"/>
      <c r="T8" s="79"/>
      <c r="U8" s="80"/>
      <c r="V8" s="78"/>
      <c r="W8" s="82"/>
      <c r="X8" s="79"/>
      <c r="Y8" s="80"/>
      <c r="Z8" s="80"/>
      <c r="AA8" s="80"/>
      <c r="AB8" s="78"/>
      <c r="AC8" s="78"/>
      <c r="AD8" s="79"/>
      <c r="AE8" s="80"/>
      <c r="AF8" s="82"/>
      <c r="AG8" s="79"/>
      <c r="AH8" s="80"/>
      <c r="AI8" s="80"/>
      <c r="AJ8" s="80"/>
      <c r="AK8" s="80"/>
      <c r="AL8" s="80"/>
      <c r="AM8" s="80"/>
      <c r="AN8" s="80"/>
      <c r="AO8" s="80"/>
      <c r="AP8" s="80"/>
      <c r="AQ8" s="80"/>
      <c r="AR8" s="80"/>
      <c r="AS8" s="80"/>
      <c r="AT8" s="80"/>
      <c r="AU8" s="80"/>
      <c r="AV8" s="78"/>
      <c r="AW8" s="79"/>
      <c r="AX8" s="80"/>
      <c r="AY8" s="80"/>
      <c r="AZ8" s="80"/>
      <c r="BA8" s="78"/>
      <c r="BB8" s="79"/>
      <c r="BC8" s="80"/>
      <c r="BD8" s="81"/>
      <c r="BE8" s="78"/>
      <c r="BF8" s="79"/>
      <c r="BG8" s="81"/>
      <c r="BH8" s="82"/>
      <c r="BI8" s="91"/>
      <c r="BJ8" s="92"/>
      <c r="BK8" s="92"/>
      <c r="BL8" s="92"/>
      <c r="BM8" s="92"/>
      <c r="BN8" s="93"/>
      <c r="BO8" s="42"/>
    </row>
    <row r="9" spans="1:67">
      <c r="A9" s="38"/>
      <c r="B9" s="111"/>
      <c r="C9" s="114"/>
      <c r="D9" s="73"/>
      <c r="E9" s="65"/>
      <c r="F9" s="83"/>
      <c r="G9" s="104"/>
      <c r="H9" s="106"/>
      <c r="I9" s="106"/>
      <c r="J9" s="102"/>
      <c r="K9" s="104"/>
      <c r="L9" s="108"/>
      <c r="M9" s="99"/>
      <c r="N9" s="62"/>
      <c r="O9" s="63"/>
      <c r="P9" s="66"/>
      <c r="Q9" s="84"/>
      <c r="R9" s="79"/>
      <c r="S9" s="82"/>
      <c r="T9" s="79"/>
      <c r="U9" s="80"/>
      <c r="V9" s="78"/>
      <c r="W9" s="82"/>
      <c r="X9" s="79"/>
      <c r="Y9" s="80"/>
      <c r="Z9" s="80"/>
      <c r="AA9" s="80"/>
      <c r="AB9" s="78"/>
      <c r="AC9" s="78"/>
      <c r="AD9" s="79"/>
      <c r="AE9" s="80"/>
      <c r="AF9" s="82"/>
      <c r="AG9" s="79"/>
      <c r="AH9" s="80"/>
      <c r="AI9" s="80"/>
      <c r="AJ9" s="80"/>
      <c r="AK9" s="80"/>
      <c r="AL9" s="80"/>
      <c r="AM9" s="80"/>
      <c r="AN9" s="80"/>
      <c r="AO9" s="80"/>
      <c r="AP9" s="80"/>
      <c r="AQ9" s="80"/>
      <c r="AR9" s="80"/>
      <c r="AS9" s="80"/>
      <c r="AT9" s="80"/>
      <c r="AU9" s="80"/>
      <c r="AV9" s="78"/>
      <c r="AW9" s="79"/>
      <c r="AX9" s="80"/>
      <c r="AY9" s="80"/>
      <c r="AZ9" s="80"/>
      <c r="BA9" s="78"/>
      <c r="BB9" s="79"/>
      <c r="BC9" s="80"/>
      <c r="BD9" s="81"/>
      <c r="BE9" s="78"/>
      <c r="BF9" s="79"/>
      <c r="BG9" s="81"/>
      <c r="BH9" s="82"/>
      <c r="BI9" s="91"/>
      <c r="BJ9" s="92"/>
      <c r="BK9" s="92"/>
      <c r="BL9" s="92"/>
      <c r="BM9" s="92"/>
      <c r="BN9" s="93"/>
      <c r="BO9" s="42"/>
    </row>
    <row r="10" spans="1:67">
      <c r="A10" s="38"/>
      <c r="B10" s="111"/>
      <c r="C10" s="114"/>
      <c r="D10" s="73"/>
      <c r="E10" s="65"/>
      <c r="F10" s="83"/>
      <c r="G10" s="104"/>
      <c r="H10" s="106"/>
      <c r="I10" s="106"/>
      <c r="J10" s="102"/>
      <c r="K10" s="104"/>
      <c r="L10" s="108"/>
      <c r="M10" s="99"/>
      <c r="N10" s="62"/>
      <c r="O10" s="63"/>
      <c r="P10" s="67"/>
      <c r="Q10" s="84"/>
      <c r="R10" s="79"/>
      <c r="S10" s="82"/>
      <c r="T10" s="79"/>
      <c r="U10" s="80"/>
      <c r="V10" s="78"/>
      <c r="W10" s="82"/>
      <c r="X10" s="79"/>
      <c r="Y10" s="80"/>
      <c r="Z10" s="80"/>
      <c r="AA10" s="80"/>
      <c r="AB10" s="78"/>
      <c r="AC10" s="78"/>
      <c r="AD10" s="79"/>
      <c r="AE10" s="80"/>
      <c r="AF10" s="82"/>
      <c r="AG10" s="79"/>
      <c r="AH10" s="80"/>
      <c r="AI10" s="80"/>
      <c r="AJ10" s="80"/>
      <c r="AK10" s="80"/>
      <c r="AL10" s="80"/>
      <c r="AM10" s="80"/>
      <c r="AN10" s="80"/>
      <c r="AO10" s="80"/>
      <c r="AP10" s="80"/>
      <c r="AQ10" s="80"/>
      <c r="AR10" s="80"/>
      <c r="AS10" s="80"/>
      <c r="AT10" s="80"/>
      <c r="AU10" s="80"/>
      <c r="AV10" s="78"/>
      <c r="AW10" s="79"/>
      <c r="AX10" s="80"/>
      <c r="AY10" s="80"/>
      <c r="AZ10" s="80"/>
      <c r="BA10" s="78"/>
      <c r="BB10" s="79"/>
      <c r="BC10" s="80"/>
      <c r="BD10" s="81"/>
      <c r="BE10" s="78"/>
      <c r="BF10" s="79"/>
      <c r="BG10" s="81"/>
      <c r="BH10" s="82"/>
      <c r="BI10" s="91"/>
      <c r="BJ10" s="92"/>
      <c r="BK10" s="92"/>
      <c r="BL10" s="92"/>
      <c r="BM10" s="92"/>
      <c r="BN10" s="93"/>
      <c r="BO10" s="42"/>
    </row>
    <row r="11" spans="1:67">
      <c r="A11" s="38"/>
      <c r="B11" s="112"/>
      <c r="C11" s="115"/>
      <c r="D11" s="74"/>
      <c r="E11" s="68"/>
      <c r="F11" s="83"/>
      <c r="G11" s="104"/>
      <c r="H11" s="106"/>
      <c r="I11" s="106"/>
      <c r="J11" s="102"/>
      <c r="K11" s="104"/>
      <c r="L11" s="108"/>
      <c r="M11" s="99"/>
      <c r="N11" s="69"/>
      <c r="O11" s="70"/>
      <c r="P11" s="66"/>
      <c r="Q11" s="84"/>
      <c r="R11" s="79"/>
      <c r="S11" s="82"/>
      <c r="T11" s="79"/>
      <c r="U11" s="80"/>
      <c r="V11" s="78"/>
      <c r="W11" s="82"/>
      <c r="X11" s="79"/>
      <c r="Y11" s="80"/>
      <c r="Z11" s="80"/>
      <c r="AA11" s="80"/>
      <c r="AB11" s="78"/>
      <c r="AC11" s="78"/>
      <c r="AD11" s="79"/>
      <c r="AE11" s="80"/>
      <c r="AF11" s="82"/>
      <c r="AG11" s="79"/>
      <c r="AH11" s="80"/>
      <c r="AI11" s="80"/>
      <c r="AJ11" s="80"/>
      <c r="AK11" s="80"/>
      <c r="AL11" s="80"/>
      <c r="AM11" s="80"/>
      <c r="AN11" s="80"/>
      <c r="AO11" s="80"/>
      <c r="AP11" s="80"/>
      <c r="AQ11" s="80"/>
      <c r="AR11" s="80"/>
      <c r="AS11" s="80"/>
      <c r="AT11" s="80"/>
      <c r="AU11" s="80"/>
      <c r="AV11" s="78"/>
      <c r="AW11" s="79"/>
      <c r="AX11" s="80"/>
      <c r="AY11" s="80"/>
      <c r="AZ11" s="80"/>
      <c r="BA11" s="78"/>
      <c r="BB11" s="79"/>
      <c r="BC11" s="80"/>
      <c r="BD11" s="81"/>
      <c r="BE11" s="78"/>
      <c r="BF11" s="79"/>
      <c r="BG11" s="81"/>
      <c r="BH11" s="82"/>
      <c r="BI11" s="91"/>
      <c r="BJ11" s="92"/>
      <c r="BK11" s="92"/>
      <c r="BL11" s="92"/>
      <c r="BM11" s="92"/>
      <c r="BN11" s="93"/>
      <c r="BO11" s="42"/>
    </row>
    <row r="12" spans="1:67">
      <c r="A12" s="38"/>
      <c r="B12" s="112"/>
      <c r="C12" s="115"/>
      <c r="D12" s="74"/>
      <c r="E12" s="68"/>
      <c r="F12" s="83"/>
      <c r="G12" s="104"/>
      <c r="H12" s="106"/>
      <c r="I12" s="106"/>
      <c r="J12" s="102"/>
      <c r="K12" s="104"/>
      <c r="L12" s="108"/>
      <c r="M12" s="99"/>
      <c r="N12" s="69"/>
      <c r="O12" s="70" t="s">
        <v>0</v>
      </c>
      <c r="P12" s="66"/>
      <c r="Q12" s="84"/>
      <c r="R12" s="79"/>
      <c r="S12" s="82"/>
      <c r="T12" s="79"/>
      <c r="U12" s="80"/>
      <c r="V12" s="78"/>
      <c r="W12" s="82"/>
      <c r="X12" s="79"/>
      <c r="Y12" s="80"/>
      <c r="Z12" s="80"/>
      <c r="AA12" s="80"/>
      <c r="AB12" s="78"/>
      <c r="AC12" s="78"/>
      <c r="AD12" s="79"/>
      <c r="AE12" s="80"/>
      <c r="AF12" s="82"/>
      <c r="AG12" s="79"/>
      <c r="AH12" s="80"/>
      <c r="AI12" s="80"/>
      <c r="AJ12" s="80"/>
      <c r="AK12" s="80"/>
      <c r="AL12" s="80"/>
      <c r="AM12" s="80"/>
      <c r="AN12" s="80"/>
      <c r="AO12" s="80"/>
      <c r="AP12" s="80"/>
      <c r="AQ12" s="80"/>
      <c r="AR12" s="80"/>
      <c r="AS12" s="80"/>
      <c r="AT12" s="80"/>
      <c r="AU12" s="80"/>
      <c r="AV12" s="78"/>
      <c r="AW12" s="79"/>
      <c r="AX12" s="80"/>
      <c r="AY12" s="80"/>
      <c r="AZ12" s="80"/>
      <c r="BA12" s="78"/>
      <c r="BB12" s="79"/>
      <c r="BC12" s="80"/>
      <c r="BD12" s="81"/>
      <c r="BE12" s="78"/>
      <c r="BF12" s="79"/>
      <c r="BG12" s="81"/>
      <c r="BH12" s="82"/>
      <c r="BI12" s="91"/>
      <c r="BJ12" s="92"/>
      <c r="BK12" s="92"/>
      <c r="BL12" s="92"/>
      <c r="BM12" s="92"/>
      <c r="BN12" s="93"/>
      <c r="BO12" s="42"/>
    </row>
    <row r="13" spans="1:67" ht="13.5" thickBot="1">
      <c r="A13" s="38"/>
      <c r="B13" s="113"/>
      <c r="C13" s="116"/>
      <c r="D13" s="75"/>
      <c r="E13" s="72"/>
      <c r="F13" s="85"/>
      <c r="G13" s="105"/>
      <c r="H13" s="107"/>
      <c r="I13" s="107"/>
      <c r="J13" s="103"/>
      <c r="K13" s="105"/>
      <c r="L13" s="109"/>
      <c r="M13" s="100"/>
      <c r="N13" s="71"/>
      <c r="O13" s="52" t="s">
        <v>0</v>
      </c>
      <c r="P13" s="53"/>
      <c r="Q13" s="86"/>
      <c r="R13" s="87"/>
      <c r="S13" s="90"/>
      <c r="T13" s="87"/>
      <c r="U13" s="88"/>
      <c r="V13" s="86"/>
      <c r="W13" s="90"/>
      <c r="X13" s="87"/>
      <c r="Y13" s="88"/>
      <c r="Z13" s="88"/>
      <c r="AA13" s="88"/>
      <c r="AB13" s="86"/>
      <c r="AC13" s="86"/>
      <c r="AD13" s="87"/>
      <c r="AE13" s="88"/>
      <c r="AF13" s="90"/>
      <c r="AG13" s="87"/>
      <c r="AH13" s="88"/>
      <c r="AI13" s="88"/>
      <c r="AJ13" s="88"/>
      <c r="AK13" s="88"/>
      <c r="AL13" s="88"/>
      <c r="AM13" s="88"/>
      <c r="AN13" s="88"/>
      <c r="AO13" s="88"/>
      <c r="AP13" s="88"/>
      <c r="AQ13" s="88"/>
      <c r="AR13" s="88"/>
      <c r="AS13" s="88"/>
      <c r="AT13" s="88"/>
      <c r="AU13" s="88"/>
      <c r="AV13" s="86"/>
      <c r="AW13" s="87"/>
      <c r="AX13" s="88"/>
      <c r="AY13" s="88"/>
      <c r="AZ13" s="88"/>
      <c r="BA13" s="86"/>
      <c r="BB13" s="87"/>
      <c r="BC13" s="88"/>
      <c r="BD13" s="89"/>
      <c r="BE13" s="86"/>
      <c r="BF13" s="87"/>
      <c r="BG13" s="89"/>
      <c r="BH13" s="90"/>
      <c r="BI13" s="94"/>
      <c r="BJ13" s="95"/>
      <c r="BK13" s="95"/>
      <c r="BL13" s="95"/>
      <c r="BM13" s="95"/>
      <c r="BN13" s="96"/>
      <c r="BO13" s="42"/>
    </row>
    <row r="14" spans="1:67">
      <c r="A14" s="38"/>
      <c r="B14" s="40"/>
      <c r="C14" s="40"/>
      <c r="D14" s="38"/>
      <c r="E14" s="38"/>
      <c r="F14" s="38"/>
      <c r="G14" s="38"/>
      <c r="H14" s="38"/>
      <c r="I14" s="38"/>
      <c r="J14" s="38"/>
      <c r="K14" s="38"/>
      <c r="L14" s="38"/>
      <c r="M14" s="38"/>
      <c r="N14" s="38"/>
      <c r="O14" s="38"/>
      <c r="P14" s="38"/>
      <c r="Q14" s="42"/>
      <c r="R14" s="42"/>
      <c r="S14" s="42"/>
      <c r="T14" s="42"/>
      <c r="U14" s="42"/>
      <c r="V14" s="42"/>
      <c r="W14" s="42"/>
      <c r="X14" s="42"/>
      <c r="Y14" s="42"/>
      <c r="Z14" s="42"/>
      <c r="AA14" s="42"/>
      <c r="AB14" s="42"/>
      <c r="AC14" s="42"/>
      <c r="AD14" s="42"/>
      <c r="AE14" s="42"/>
      <c r="AF14" s="42"/>
      <c r="AG14" s="42"/>
      <c r="AH14" s="42"/>
      <c r="AI14" s="42"/>
      <c r="AJ14" s="42"/>
      <c r="AK14" s="42"/>
      <c r="AL14" s="42"/>
      <c r="AM14" s="42"/>
      <c r="AN14" s="42"/>
      <c r="AO14" s="42"/>
      <c r="AP14" s="42"/>
      <c r="AQ14" s="42"/>
      <c r="AR14" s="42"/>
      <c r="AS14" s="42"/>
      <c r="AT14" s="42"/>
      <c r="AU14" s="42"/>
      <c r="AV14" s="42"/>
      <c r="AW14" s="42"/>
      <c r="AX14" s="42"/>
      <c r="AY14" s="42"/>
      <c r="AZ14" s="42"/>
      <c r="BA14" s="42"/>
      <c r="BB14" s="42"/>
      <c r="BC14" s="42"/>
      <c r="BD14" s="42"/>
      <c r="BE14" s="42"/>
      <c r="BF14" s="42"/>
      <c r="BG14" s="42"/>
      <c r="BH14" s="42"/>
      <c r="BI14" s="42"/>
      <c r="BJ14" s="42"/>
      <c r="BK14" s="42"/>
      <c r="BL14" s="42"/>
      <c r="BM14" s="42"/>
      <c r="BN14" s="42"/>
      <c r="BO14" s="42"/>
    </row>
    <row r="15" spans="1:67">
      <c r="A15" s="38"/>
      <c r="B15" s="40"/>
      <c r="C15" s="40"/>
      <c r="D15" s="38"/>
      <c r="E15" s="38"/>
      <c r="F15" s="38"/>
      <c r="G15" s="38"/>
      <c r="H15" s="38"/>
      <c r="I15" s="38"/>
      <c r="J15" s="38"/>
      <c r="K15" s="38"/>
      <c r="L15" s="38"/>
      <c r="M15" s="38"/>
      <c r="N15" s="38"/>
      <c r="O15" s="38"/>
      <c r="P15" s="45"/>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row>
  </sheetData>
  <phoneticPr fontId="1" type="noConversion"/>
  <pageMargins left="0.74803149606299213" right="0.74803149606299213" top="0.48" bottom="0.69" header="0.42" footer="0.31"/>
  <pageSetup paperSize="9" fitToHeight="0" orientation="landscape" blackAndWhite="1" horizontalDpi="4294967293" r:id="rId1"/>
  <headerFooter alignWithMargins="0">
    <oddFooter>&amp;L&amp;8File Ref: &amp;F&amp;R&amp;8&amp;A
Page &amp;P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Title Page</vt:lpstr>
      <vt:lpstr>General Instructions</vt:lpstr>
      <vt:lpstr>Document Control</vt:lpstr>
      <vt:lpstr>Service Portfolio</vt:lpstr>
      <vt:lpstr>Author</vt:lpstr>
      <vt:lpstr>ChangeDate</vt:lpstr>
      <vt:lpstr>'Document Control'!CustomTops</vt:lpstr>
      <vt:lpstr>'Title Page'!CustomTops</vt:lpstr>
      <vt:lpstr>Document_Ref</vt:lpstr>
      <vt:lpstr>No</vt:lpstr>
      <vt:lpstr>Subject</vt:lpstr>
      <vt:lpstr>Title</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IP.014 Service Portfolio</dc:title>
  <dc:creator>Oracle Methods</dc:creator>
  <cp:keywords>OUM</cp:keywords>
  <dc:description>Copyright © 2011, Oracle and/or its affiliates.  All rights reserved.</dc:description>
  <cp:lastModifiedBy>masander</cp:lastModifiedBy>
  <cp:lastPrinted>2010-08-08T22:18:37Z</cp:lastPrinted>
  <dcterms:created xsi:type="dcterms:W3CDTF">2007-10-09T20:56:26Z</dcterms:created>
  <dcterms:modified xsi:type="dcterms:W3CDTF">2014-10-03T20:46:11Z</dcterms:modified>
</cp:coreProperties>
</file>