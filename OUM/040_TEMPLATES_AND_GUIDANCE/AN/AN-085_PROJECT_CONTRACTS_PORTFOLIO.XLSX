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30" yWindow="1095" windowWidth="15930" windowHeight="9375" tabRatio="955" firstSheet="1" activeTab="1"/>
  </bookViews>
  <sheets>
    <sheet name="BneWorkBookProperties" sheetId="4" state="veryHidden" r:id="rId1"/>
    <sheet name="Title Page" sheetId="24" r:id="rId2"/>
    <sheet name="Document Control" sheetId="25" r:id="rId3"/>
    <sheet name="Contracts Porfolio" sheetId="16" r:id="rId4"/>
  </sheets>
  <definedNames>
    <definedName name="Author">'Document Control'!$C$10</definedName>
    <definedName name="ChangeDate">'Document Control'!$B$10:$B$14</definedName>
    <definedName name="CustomTops" localSheetId="3">'Contracts Porfolio'!$B$5:$B$8</definedName>
    <definedName name="CustomTops" localSheetId="2">'Document Control'!$C$10:$C$13</definedName>
    <definedName name="CustomTops" localSheetId="1">'Title Page'!$C$24:$C$26</definedName>
    <definedName name="Document_Ref">'Title Page'!$D$19</definedName>
    <definedName name="ObjectTypes">#REF!</definedName>
    <definedName name="Responsibilities">'Contracts Porfolio'!$C$5:$C$11</definedName>
    <definedName name="RespType">#REF!</definedName>
    <definedName name="RoleCategories">#REF!</definedName>
    <definedName name="Subject">'Title Page'!$C$14</definedName>
    <definedName name="Title">'Title Page'!$D$11</definedName>
  </definedNames>
  <calcPr calcId="125725"/>
</workbook>
</file>

<file path=xl/calcChain.xml><?xml version="1.0" encoding="utf-8"?>
<calcChain xmlns="http://schemas.openxmlformats.org/spreadsheetml/2006/main">
  <c r="B20" i="25"/>
  <c r="B21"/>
  <c r="B22"/>
  <c r="B19"/>
  <c r="D16" i="24"/>
  <c r="D17"/>
  <c r="D18"/>
  <c r="D20"/>
  <c r="E2" i="25"/>
  <c r="F1"/>
  <c r="A1"/>
  <c r="E2" i="24"/>
  <c r="D1"/>
  <c r="A1"/>
</calcChain>
</file>

<file path=xl/comments1.xml><?xml version="1.0" encoding="utf-8"?>
<comments xmlns="http://schemas.openxmlformats.org/spreadsheetml/2006/main">
  <authors>
    <author>Volker Eckardt</author>
  </authors>
  <commentList>
    <comment ref="D16" authorId="0">
      <text>
        <r>
          <rPr>
            <sz val="8"/>
            <color indexed="81"/>
            <rFont val="Tahoma"/>
          </rPr>
          <t>automatically retrieved from Document Control</t>
        </r>
      </text>
    </comment>
    <comment ref="D17" authorId="0">
      <text>
        <r>
          <rPr>
            <sz val="8"/>
            <color indexed="81"/>
            <rFont val="Tahoma"/>
          </rPr>
          <t>automatically retrieved from document control</t>
        </r>
      </text>
    </comment>
    <comment ref="D18" authorId="0">
      <text>
        <r>
          <rPr>
            <sz val="8"/>
            <color indexed="81"/>
            <rFont val="Tahoma"/>
          </rPr>
          <t>automatically retrieved from document control</t>
        </r>
      </text>
    </comment>
    <comment ref="D20" authorId="0">
      <text>
        <r>
          <rPr>
            <sz val="8"/>
            <color indexed="81"/>
            <rFont val="Tahoma"/>
          </rPr>
          <t>automatically retrieved from document control</t>
        </r>
      </text>
    </comment>
  </commentList>
</comments>
</file>

<file path=xl/comments2.xml><?xml version="1.0" encoding="utf-8"?>
<comments xmlns="http://schemas.openxmlformats.org/spreadsheetml/2006/main">
  <authors>
    <author>Volker Eckardt</author>
  </authors>
  <commentList>
    <comment ref="B19" authorId="0">
      <text>
        <r>
          <rPr>
            <b/>
            <sz val="8"/>
            <color indexed="81"/>
            <rFont val="Tahoma"/>
          </rPr>
          <t>Volker Eckardt:</t>
        </r>
        <r>
          <rPr>
            <sz val="8"/>
            <color indexed="81"/>
            <rFont val="Tahoma"/>
          </rPr>
          <t xml:space="preserve">
This Column contains a formula, just enter a name and the number will appear automatically</t>
        </r>
      </text>
    </comment>
  </commentList>
</comments>
</file>

<file path=xl/sharedStrings.xml><?xml version="1.0" encoding="utf-8"?>
<sst xmlns="http://schemas.openxmlformats.org/spreadsheetml/2006/main" count="46" uniqueCount="46">
  <si>
    <t>No</t>
  </si>
  <si>
    <t>Comment</t>
  </si>
  <si>
    <t>Change Record</t>
  </si>
  <si>
    <t>Document Control</t>
  </si>
  <si>
    <t>Date</t>
  </si>
  <si>
    <t>Author</t>
  </si>
  <si>
    <t>Version</t>
  </si>
  <si>
    <t>Change Reference</t>
  </si>
  <si>
    <t>Reviewers</t>
  </si>
  <si>
    <t>Name</t>
  </si>
  <si>
    <t>Position</t>
  </si>
  <si>
    <t>Note</t>
  </si>
  <si>
    <t>OUM</t>
  </si>
  <si>
    <t>&lt;Company Long Name&gt;</t>
  </si>
  <si>
    <t>&lt;Subject&gt;</t>
  </si>
  <si>
    <t>Author:</t>
  </si>
  <si>
    <t>&lt;Author&gt;</t>
  </si>
  <si>
    <t>Creation Date:</t>
  </si>
  <si>
    <t>Last Updated:</t>
  </si>
  <si>
    <t>Document Ref:</t>
  </si>
  <si>
    <t>Version:</t>
  </si>
  <si>
    <t>Approvals</t>
  </si>
  <si>
    <t>&lt;Approver 1&gt;</t>
  </si>
  <si>
    <t>&lt;Approver 2&gt;</t>
  </si>
  <si>
    <t>Approver</t>
  </si>
  <si>
    <t>Signature</t>
  </si>
  <si>
    <t>&lt;Document Reference Number&gt;</t>
  </si>
  <si>
    <t xml:space="preserve">AN.085 </t>
  </si>
  <si>
    <t>Service Name</t>
  </si>
  <si>
    <t>Service ID</t>
  </si>
  <si>
    <t>Status</t>
  </si>
  <si>
    <t>Exchange Pattern</t>
  </si>
  <si>
    <t>Reliabilty</t>
  </si>
  <si>
    <t>Latency</t>
  </si>
  <si>
    <t>Request
Volume</t>
  </si>
  <si>
    <t>Max
Msg
Size</t>
  </si>
  <si>
    <t>Security</t>
  </si>
  <si>
    <t>Current
Deployed
Version</t>
  </si>
  <si>
    <t>Idempotency</t>
  </si>
  <si>
    <t>Concurrency</t>
  </si>
  <si>
    <t>Availability</t>
  </si>
  <si>
    <t>Complexity</t>
  </si>
  <si>
    <t xml:space="preserve">Examples include: 
- Request-response 
- Fire-and-forget
- Publish/Subscribe
- Notification
</t>
  </si>
  <si>
    <t xml:space="preserve">Created
Defined
Retired
</t>
  </si>
  <si>
    <t>Simple
Moderate
Complex
Very Complex</t>
  </si>
  <si>
    <t>Project Contracts Portfolio</t>
  </si>
</sst>
</file>

<file path=xl/styles.xml><?xml version="1.0" encoding="utf-8"?>
<styleSheet xmlns="http://schemas.openxmlformats.org/spreadsheetml/2006/main">
  <numFmts count="1">
    <numFmt numFmtId="196" formatCode="0.0"/>
  </numFmts>
  <fonts count="22">
    <font>
      <sz val="10"/>
      <name val="Arial"/>
    </font>
    <font>
      <sz val="9"/>
      <color indexed="61"/>
      <name val="Tahoma"/>
      <family val="2"/>
    </font>
    <font>
      <sz val="9"/>
      <color indexed="8"/>
      <name val="Arial"/>
      <family val="2"/>
    </font>
    <font>
      <sz val="9"/>
      <name val="Arial"/>
      <family val="2"/>
    </font>
    <font>
      <u/>
      <sz val="10"/>
      <color indexed="12"/>
      <name val="Arial"/>
    </font>
    <font>
      <sz val="8"/>
      <color indexed="81"/>
      <name val="Tahoma"/>
    </font>
    <font>
      <b/>
      <sz val="8"/>
      <color indexed="81"/>
      <name val="Tahoma"/>
    </font>
    <font>
      <sz val="8"/>
      <name val="Arial"/>
      <family val="2"/>
    </font>
    <font>
      <sz val="10"/>
      <name val="Arial"/>
      <family val="2"/>
    </font>
    <font>
      <u/>
      <sz val="9"/>
      <color indexed="12"/>
      <name val="Arial"/>
      <family val="2"/>
    </font>
    <font>
      <sz val="9"/>
      <color indexed="61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9"/>
      <color indexed="56"/>
      <name val="Arial"/>
      <family val="2"/>
    </font>
    <font>
      <b/>
      <sz val="16"/>
      <name val="Arial"/>
      <family val="2"/>
    </font>
    <font>
      <b/>
      <sz val="16"/>
      <color indexed="12"/>
      <name val="Arial"/>
      <family val="2"/>
    </font>
    <font>
      <b/>
      <sz val="18"/>
      <color indexed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1" xfId="0" applyNumberFormat="1" applyFont="1" applyFill="1" applyBorder="1" applyAlignment="1" applyProtection="1">
      <alignment vertical="top" wrapText="1"/>
      <protection locked="0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 applyProtection="1">
      <alignment vertical="center" wrapText="1"/>
      <protection locked="0"/>
    </xf>
    <xf numFmtId="196" fontId="2" fillId="2" borderId="1" xfId="0" applyNumberFormat="1" applyFont="1" applyFill="1" applyBorder="1" applyAlignment="1" applyProtection="1">
      <alignment horizontal="left" vertical="center" wrapText="1"/>
      <protection locked="0"/>
    </xf>
    <xf numFmtId="196" fontId="2" fillId="2" borderId="1" xfId="0" applyNumberFormat="1" applyFont="1" applyFill="1" applyBorder="1" applyAlignment="1" applyProtection="1">
      <alignment horizontal="left" vertical="top" wrapText="1"/>
      <protection locked="0"/>
    </xf>
    <xf numFmtId="14" fontId="2" fillId="2" borderId="1" xfId="0" applyNumberFormat="1" applyFont="1" applyFill="1" applyBorder="1" applyAlignment="1" applyProtection="1">
      <alignment horizontal="center" vertical="top" wrapText="1"/>
      <protection locked="0"/>
    </xf>
    <xf numFmtId="14" fontId="2" fillId="2" borderId="1" xfId="0" applyNumberFormat="1" applyFont="1" applyFill="1" applyBorder="1" applyAlignment="1" applyProtection="1">
      <alignment horizontal="left" vertical="center" wrapText="1"/>
      <protection locked="0"/>
    </xf>
    <xf numFmtId="0" fontId="2" fillId="2" borderId="1" xfId="0" applyNumberFormat="1" applyFont="1" applyFill="1" applyBorder="1" applyAlignment="1" applyProtection="1">
      <alignment horizontal="center" vertical="top" wrapText="1"/>
      <protection locked="0"/>
    </xf>
    <xf numFmtId="0" fontId="2" fillId="2" borderId="1" xfId="0" applyNumberFormat="1" applyFont="1" applyFill="1" applyBorder="1" applyAlignment="1" applyProtection="1">
      <alignment vertical="top" wrapText="1"/>
      <protection locked="0"/>
    </xf>
    <xf numFmtId="0" fontId="2" fillId="2" borderId="2" xfId="0" applyNumberFormat="1" applyFont="1" applyFill="1" applyBorder="1" applyAlignment="1" applyProtection="1">
      <alignment vertical="top" wrapText="1"/>
      <protection locked="0"/>
    </xf>
    <xf numFmtId="0" fontId="7" fillId="0" borderId="0" xfId="0" applyFont="1"/>
    <xf numFmtId="49" fontId="8" fillId="0" borderId="0" xfId="0" applyNumberFormat="1" applyFont="1" applyAlignment="1">
      <alignment horizontal="center"/>
    </xf>
    <xf numFmtId="0" fontId="8" fillId="0" borderId="0" xfId="0" applyFont="1"/>
    <xf numFmtId="22" fontId="7" fillId="0" borderId="0" xfId="0" applyNumberFormat="1" applyFont="1" applyAlignment="1">
      <alignment horizontal="right"/>
    </xf>
    <xf numFmtId="0" fontId="9" fillId="3" borderId="0" xfId="1" applyFont="1" applyFill="1" applyAlignment="1" applyProtection="1"/>
    <xf numFmtId="49" fontId="10" fillId="3" borderId="0" xfId="0" applyNumberFormat="1" applyFont="1" applyFill="1" applyAlignment="1">
      <alignment horizontal="center"/>
    </xf>
    <xf numFmtId="0" fontId="10" fillId="3" borderId="0" xfId="0" applyFont="1" applyFill="1"/>
    <xf numFmtId="49" fontId="11" fillId="3" borderId="0" xfId="0" applyNumberFormat="1" applyFont="1" applyFill="1" applyAlignment="1">
      <alignment horizontal="left"/>
    </xf>
    <xf numFmtId="49" fontId="12" fillId="3" borderId="0" xfId="0" applyNumberFormat="1" applyFont="1" applyFill="1" applyAlignment="1">
      <alignment horizontal="left"/>
    </xf>
    <xf numFmtId="0" fontId="10" fillId="3" borderId="0" xfId="0" applyFont="1" applyFill="1" applyAlignment="1">
      <alignment vertical="center"/>
    </xf>
    <xf numFmtId="49" fontId="13" fillId="4" borderId="3" xfId="0" applyNumberFormat="1" applyFont="1" applyFill="1" applyBorder="1" applyAlignment="1" applyProtection="1">
      <alignment horizontal="center" vertical="center"/>
    </xf>
    <xf numFmtId="49" fontId="13" fillId="4" borderId="4" xfId="0" applyNumberFormat="1" applyFont="1" applyFill="1" applyBorder="1" applyAlignment="1" applyProtection="1">
      <alignment vertical="center"/>
    </xf>
    <xf numFmtId="49" fontId="13" fillId="4" borderId="4" xfId="0" applyNumberFormat="1" applyFont="1" applyFill="1" applyBorder="1" applyAlignment="1" applyProtection="1">
      <alignment horizontal="left" vertical="center"/>
    </xf>
    <xf numFmtId="49" fontId="13" fillId="4" borderId="5" xfId="0" applyNumberFormat="1" applyFont="1" applyFill="1" applyBorder="1" applyAlignment="1" applyProtection="1">
      <alignment vertical="center"/>
    </xf>
    <xf numFmtId="14" fontId="10" fillId="3" borderId="0" xfId="0" applyNumberFormat="1" applyFont="1" applyFill="1" applyAlignment="1">
      <alignment horizontal="center"/>
    </xf>
    <xf numFmtId="196" fontId="10" fillId="3" borderId="0" xfId="0" applyNumberFormat="1" applyFont="1" applyFill="1" applyAlignment="1">
      <alignment horizontal="left"/>
    </xf>
    <xf numFmtId="49" fontId="14" fillId="3" borderId="0" xfId="0" applyNumberFormat="1" applyFont="1" applyFill="1" applyAlignment="1">
      <alignment horizontal="left"/>
    </xf>
    <xf numFmtId="0" fontId="15" fillId="3" borderId="0" xfId="0" applyFont="1" applyFill="1"/>
    <xf numFmtId="49" fontId="16" fillId="3" borderId="0" xfId="0" applyNumberFormat="1" applyFont="1" applyFill="1" applyAlignment="1">
      <alignment horizontal="left"/>
    </xf>
    <xf numFmtId="49" fontId="13" fillId="4" borderId="3" xfId="0" applyNumberFormat="1" applyFont="1" applyFill="1" applyBorder="1" applyAlignment="1" applyProtection="1">
      <alignment horizontal="left" vertical="center"/>
    </xf>
    <xf numFmtId="49" fontId="13" fillId="4" borderId="1" xfId="0" applyNumberFormat="1" applyFont="1" applyFill="1" applyBorder="1" applyAlignment="1" applyProtection="1">
      <alignment horizontal="left" vertical="center"/>
    </xf>
    <xf numFmtId="0" fontId="17" fillId="3" borderId="0" xfId="0" applyFont="1" applyFill="1"/>
    <xf numFmtId="0" fontId="18" fillId="3" borderId="0" xfId="1" applyFont="1" applyFill="1" applyAlignment="1" applyProtection="1">
      <alignment horizontal="right"/>
    </xf>
    <xf numFmtId="0" fontId="18" fillId="3" borderId="0" xfId="1" applyFont="1" applyFill="1" applyAlignment="1" applyProtection="1"/>
    <xf numFmtId="0" fontId="10" fillId="3" borderId="0" xfId="0" applyFont="1" applyFill="1" applyAlignment="1">
      <alignment horizontal="right"/>
    </xf>
    <xf numFmtId="49" fontId="13" fillId="4" borderId="6" xfId="0" applyNumberFormat="1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vertical="center" wrapText="1"/>
      <protection locked="0"/>
    </xf>
    <xf numFmtId="0" fontId="2" fillId="0" borderId="1" xfId="0" applyNumberFormat="1" applyFont="1" applyFill="1" applyBorder="1" applyAlignment="1" applyProtection="1">
      <alignment vertical="top" wrapText="1"/>
      <protection locked="0"/>
    </xf>
    <xf numFmtId="0" fontId="13" fillId="4" borderId="3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>
      <alignment vertical="top" wrapText="1"/>
    </xf>
    <xf numFmtId="0" fontId="7" fillId="3" borderId="1" xfId="0" applyNumberFormat="1" applyFont="1" applyFill="1" applyBorder="1" applyAlignment="1" applyProtection="1">
      <alignment vertical="top" wrapText="1"/>
    </xf>
    <xf numFmtId="0" fontId="7" fillId="3" borderId="7" xfId="0" applyNumberFormat="1" applyFont="1" applyFill="1" applyBorder="1" applyAlignment="1" applyProtection="1">
      <alignment vertical="top" wrapText="1"/>
    </xf>
    <xf numFmtId="49" fontId="13" fillId="4" borderId="4" xfId="0" applyNumberFormat="1" applyFont="1" applyFill="1" applyBorder="1" applyAlignment="1" applyProtection="1">
      <alignment vertical="center" wrapText="1"/>
    </xf>
    <xf numFmtId="0" fontId="20" fillId="0" borderId="0" xfId="0" applyFont="1"/>
    <xf numFmtId="0" fontId="2" fillId="2" borderId="8" xfId="0" applyNumberFormat="1" applyFont="1" applyFill="1" applyBorder="1" applyAlignment="1" applyProtection="1">
      <alignment vertical="top" wrapText="1"/>
      <protection locked="0"/>
    </xf>
    <xf numFmtId="0" fontId="2" fillId="2" borderId="5" xfId="0" applyNumberFormat="1" applyFont="1" applyFill="1" applyBorder="1" applyAlignment="1" applyProtection="1">
      <alignment vertical="top" wrapText="1"/>
      <protection locked="0"/>
    </xf>
    <xf numFmtId="0" fontId="19" fillId="0" borderId="1" xfId="0" applyFont="1" applyBorder="1"/>
    <xf numFmtId="0" fontId="20" fillId="0" borderId="1" xfId="0" applyFont="1" applyBorder="1"/>
    <xf numFmtId="0" fontId="10" fillId="3" borderId="0" xfId="0" applyFont="1" applyFill="1" applyAlignment="1">
      <alignment horizontal="left" vertical="top"/>
    </xf>
    <xf numFmtId="0" fontId="2" fillId="2" borderId="1" xfId="0" applyNumberFormat="1" applyFont="1" applyFill="1" applyBorder="1" applyAlignment="1" applyProtection="1">
      <alignment horizontal="left" vertical="top" wrapText="1"/>
      <protection locked="0"/>
    </xf>
    <xf numFmtId="0" fontId="7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1" fillId="2" borderId="1" xfId="0" applyNumberFormat="1" applyFont="1" applyFill="1" applyBorder="1" applyAlignment="1" applyProtection="1">
      <alignment horizontal="left" vertical="top" wrapText="1"/>
      <protection locked="0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horizontal="right"/>
    </xf>
    <xf numFmtId="22" fontId="7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E6EFF8"/>
      <rgbColor rgb="00FFFFFF"/>
      <rgbColor rgb="00000000"/>
      <rgbColor rgb="0048648C"/>
      <rgbColor rgb="00C9C9CB"/>
      <rgbColor rgb="00A3C2DF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27</xdr:row>
      <xdr:rowOff>123825</xdr:rowOff>
    </xdr:from>
    <xdr:to>
      <xdr:col>3</xdr:col>
      <xdr:colOff>352425</xdr:colOff>
      <xdr:row>30</xdr:row>
      <xdr:rowOff>9525</xdr:rowOff>
    </xdr:to>
    <xdr:pic>
      <xdr:nvPicPr>
        <xdr:cNvPr id="2108" name="Picture 2" descr="oracle-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3400" y="8248650"/>
          <a:ext cx="178117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3019425</xdr:colOff>
      <xdr:row>8</xdr:row>
      <xdr:rowOff>285750</xdr:rowOff>
    </xdr:to>
    <xdr:pic>
      <xdr:nvPicPr>
        <xdr:cNvPr id="210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23875" y="1295400"/>
          <a:ext cx="4457700" cy="2857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7"/>
  <dimension ref="A1:F32"/>
  <sheetViews>
    <sheetView tabSelected="1" workbookViewId="0"/>
  </sheetViews>
  <sheetFormatPr defaultRowHeight="12.75"/>
  <cols>
    <col min="1" max="1" width="4.140625" customWidth="1"/>
    <col min="2" max="2" width="3.7109375" style="1" customWidth="1"/>
    <col min="3" max="3" width="21.5703125" customWidth="1"/>
    <col min="4" max="4" width="47.7109375" customWidth="1"/>
    <col min="5" max="6" width="5.28515625" customWidth="1"/>
  </cols>
  <sheetData>
    <row r="1" spans="1:6">
      <c r="A1" s="13" t="str">
        <f>Title</f>
        <v>Project Contracts Portfolio</v>
      </c>
      <c r="B1" s="14"/>
      <c r="C1" s="15"/>
      <c r="D1" s="58" t="str">
        <f>Document_Ref</f>
        <v>&lt;Document Reference Number&gt;</v>
      </c>
      <c r="E1" s="58"/>
      <c r="F1" s="58"/>
    </row>
    <row r="2" spans="1:6">
      <c r="A2" s="13"/>
      <c r="B2" s="14"/>
      <c r="C2" s="15"/>
      <c r="D2" s="15"/>
      <c r="E2" s="57">
        <f ca="1">NOW()</f>
        <v>41915.730943981478</v>
      </c>
      <c r="F2" s="57"/>
    </row>
    <row r="3" spans="1:6">
      <c r="A3" s="17"/>
      <c r="B3" s="18"/>
      <c r="C3" s="19"/>
      <c r="D3" s="19"/>
      <c r="E3" s="19"/>
      <c r="F3" s="19"/>
    </row>
    <row r="4" spans="1:6">
      <c r="A4" s="17"/>
      <c r="B4" s="18"/>
      <c r="C4" s="19"/>
      <c r="D4" s="19"/>
      <c r="E4" s="19"/>
      <c r="F4" s="19"/>
    </row>
    <row r="5" spans="1:6">
      <c r="A5" s="17"/>
      <c r="B5" s="18"/>
      <c r="C5" s="19"/>
      <c r="D5" s="19"/>
      <c r="E5" s="19"/>
      <c r="F5" s="19"/>
    </row>
    <row r="6" spans="1:6">
      <c r="A6" s="17"/>
      <c r="B6" s="18"/>
      <c r="C6" s="19"/>
      <c r="D6" s="19"/>
      <c r="E6" s="19"/>
      <c r="F6" s="19"/>
    </row>
    <row r="7" spans="1:6">
      <c r="A7" s="17"/>
      <c r="B7" s="18"/>
      <c r="C7" s="19"/>
      <c r="D7" s="19"/>
      <c r="E7" s="19"/>
      <c r="F7" s="19"/>
    </row>
    <row r="8" spans="1:6">
      <c r="A8" s="17"/>
      <c r="B8" s="18"/>
      <c r="C8" s="19"/>
      <c r="D8" s="19"/>
      <c r="E8" s="19"/>
      <c r="F8" s="19"/>
    </row>
    <row r="9" spans="1:6" ht="23.25">
      <c r="A9" s="19"/>
      <c r="B9" s="20"/>
      <c r="C9" s="19"/>
      <c r="D9" s="19"/>
      <c r="E9" s="19"/>
      <c r="F9" s="19"/>
    </row>
    <row r="10" spans="1:6" ht="23.25">
      <c r="A10" s="19"/>
      <c r="B10" s="20"/>
      <c r="C10" s="20" t="s">
        <v>12</v>
      </c>
      <c r="D10" s="19"/>
      <c r="E10" s="19"/>
      <c r="F10" s="19"/>
    </row>
    <row r="11" spans="1:6" ht="23.25">
      <c r="A11" s="19"/>
      <c r="B11" s="20"/>
      <c r="C11" s="29" t="s">
        <v>27</v>
      </c>
      <c r="D11" s="30" t="s">
        <v>45</v>
      </c>
      <c r="E11" s="19"/>
      <c r="F11" s="19"/>
    </row>
    <row r="12" spans="1:6" ht="23.25">
      <c r="A12" s="19"/>
      <c r="B12" s="20"/>
      <c r="C12" s="20"/>
      <c r="D12" s="19"/>
      <c r="E12" s="19"/>
      <c r="F12" s="19"/>
    </row>
    <row r="13" spans="1:6" ht="23.25">
      <c r="A13" s="19"/>
      <c r="B13" s="20"/>
      <c r="C13" s="31" t="s">
        <v>13</v>
      </c>
      <c r="D13" s="19"/>
      <c r="E13" s="19"/>
      <c r="F13" s="19"/>
    </row>
    <row r="14" spans="1:6" ht="23.25">
      <c r="A14" s="19"/>
      <c r="B14" s="20"/>
      <c r="C14" s="31" t="s">
        <v>14</v>
      </c>
      <c r="D14" s="19"/>
      <c r="E14" s="19"/>
      <c r="F14" s="19"/>
    </row>
    <row r="15" spans="1:6" ht="109.15" customHeight="1">
      <c r="A15" s="19"/>
      <c r="B15" s="20"/>
      <c r="C15" s="19"/>
      <c r="D15" s="19"/>
      <c r="E15" s="19"/>
      <c r="F15" s="19"/>
    </row>
    <row r="16" spans="1:6" ht="17.45" customHeight="1">
      <c r="A16" s="19"/>
      <c r="B16" s="20"/>
      <c r="C16" s="32" t="s">
        <v>15</v>
      </c>
      <c r="D16" s="39" t="str">
        <f>Author</f>
        <v>&lt;Author&gt;</v>
      </c>
      <c r="E16" s="19"/>
      <c r="F16" s="19"/>
    </row>
    <row r="17" spans="1:6" ht="17.45" customHeight="1">
      <c r="A17" s="19"/>
      <c r="B17" s="20"/>
      <c r="C17" s="32" t="s">
        <v>17</v>
      </c>
      <c r="D17" s="9">
        <f>MIN(ChangeDate)</f>
        <v>40533</v>
      </c>
      <c r="E17" s="19"/>
      <c r="F17" s="19"/>
    </row>
    <row r="18" spans="1:6" ht="17.45" customHeight="1">
      <c r="A18" s="19"/>
      <c r="B18" s="20"/>
      <c r="C18" s="32" t="s">
        <v>18</v>
      </c>
      <c r="D18" s="9">
        <f>MAX(ChangeDate)</f>
        <v>40533</v>
      </c>
      <c r="E18" s="19"/>
      <c r="F18" s="19"/>
    </row>
    <row r="19" spans="1:6" ht="17.45" customHeight="1">
      <c r="A19" s="19"/>
      <c r="B19" s="20"/>
      <c r="C19" s="32" t="s">
        <v>19</v>
      </c>
      <c r="D19" s="5" t="s">
        <v>26</v>
      </c>
      <c r="E19" s="19"/>
      <c r="F19" s="19"/>
    </row>
    <row r="20" spans="1:6" ht="17.45" customHeight="1">
      <c r="A20" s="19"/>
      <c r="B20" s="20"/>
      <c r="C20" s="33" t="s">
        <v>20</v>
      </c>
      <c r="D20" s="6" t="str">
        <f>SUBSTITUTE(MAX('Document Control'!D10:D14),",",".")</f>
        <v>0.1</v>
      </c>
      <c r="E20" s="19"/>
      <c r="F20" s="19"/>
    </row>
    <row r="21" spans="1:6" ht="71.45" customHeight="1">
      <c r="A21" s="19"/>
      <c r="B21" s="20"/>
      <c r="C21" s="19"/>
      <c r="D21" s="19"/>
      <c r="E21" s="19"/>
      <c r="F21" s="19"/>
    </row>
    <row r="22" spans="1:6" ht="23.25">
      <c r="A22" s="19"/>
      <c r="B22" s="20"/>
      <c r="C22" s="34" t="s">
        <v>21</v>
      </c>
      <c r="D22" s="19"/>
      <c r="E22" s="19"/>
      <c r="F22" s="19"/>
    </row>
    <row r="23" spans="1:6" s="4" customFormat="1" ht="26.45" customHeight="1">
      <c r="A23" s="22"/>
      <c r="B23" s="20"/>
      <c r="C23" s="32" t="s">
        <v>24</v>
      </c>
      <c r="D23" s="26" t="s">
        <v>25</v>
      </c>
      <c r="E23" s="22"/>
      <c r="F23" s="22"/>
    </row>
    <row r="24" spans="1:6" ht="23.25">
      <c r="A24" s="19"/>
      <c r="B24" s="20"/>
      <c r="C24" s="5" t="s">
        <v>22</v>
      </c>
      <c r="D24" s="5"/>
      <c r="E24" s="19"/>
      <c r="F24" s="19"/>
    </row>
    <row r="25" spans="1:6" ht="23.25">
      <c r="A25" s="19"/>
      <c r="B25" s="20"/>
      <c r="C25" s="5" t="s">
        <v>23</v>
      </c>
      <c r="D25" s="5"/>
      <c r="E25" s="19"/>
      <c r="F25" s="19"/>
    </row>
    <row r="26" spans="1:6" ht="23.25">
      <c r="A26" s="19"/>
      <c r="B26" s="20"/>
      <c r="C26" s="2"/>
      <c r="D26" s="2"/>
      <c r="E26" s="19"/>
      <c r="F26" s="19"/>
    </row>
    <row r="27" spans="1:6">
      <c r="A27" s="19"/>
      <c r="B27" s="18"/>
      <c r="C27" s="19"/>
      <c r="D27" s="19"/>
      <c r="E27" s="35"/>
      <c r="F27" s="35"/>
    </row>
    <row r="28" spans="1:6">
      <c r="A28" s="19"/>
      <c r="B28" s="18"/>
      <c r="C28" s="19"/>
      <c r="D28" s="19"/>
      <c r="E28" s="35"/>
      <c r="F28" s="35"/>
    </row>
    <row r="29" spans="1:6">
      <c r="A29" s="19"/>
      <c r="B29" s="18"/>
      <c r="C29" s="19"/>
      <c r="D29" s="19"/>
      <c r="E29" s="35"/>
      <c r="F29" s="35"/>
    </row>
    <row r="30" spans="1:6">
      <c r="A30" s="19"/>
      <c r="B30" s="18"/>
      <c r="C30" s="19"/>
      <c r="D30" s="19"/>
      <c r="E30" s="35"/>
      <c r="F30" s="35"/>
    </row>
    <row r="31" spans="1:6">
      <c r="A31" s="19"/>
      <c r="B31" s="18"/>
      <c r="C31" s="19"/>
      <c r="D31" s="19"/>
      <c r="E31" s="35"/>
      <c r="F31" s="35"/>
    </row>
    <row r="32" spans="1:6">
      <c r="A32" s="19"/>
      <c r="B32" s="18"/>
      <c r="C32" s="19"/>
      <c r="D32" s="19"/>
      <c r="E32" s="35"/>
      <c r="F32" s="35"/>
    </row>
  </sheetData>
  <mergeCells count="2">
    <mergeCell ref="E2:F2"/>
    <mergeCell ref="D1:F1"/>
  </mergeCells>
  <phoneticPr fontId="1" type="noConversion"/>
  <pageMargins left="0.74803149606299213" right="0.74803149606299213" top="0.66" bottom="0.98425196850393704" header="0.51181102362204722" footer="0.51181102362204722"/>
  <pageSetup paperSize="9" fitToHeight="0" orientation="portrait" blackAndWhite="1" horizontalDpi="4294967293" r:id="rId1"/>
  <headerFooter alignWithMargins="0">
    <oddFooter>&amp;L&amp;8File Ref: &amp;F&amp;R&amp;8&amp;A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8">
    <pageSetUpPr fitToPage="1"/>
  </sheetPr>
  <dimension ref="A1:F24"/>
  <sheetViews>
    <sheetView zoomScaleNormal="100" workbookViewId="0"/>
  </sheetViews>
  <sheetFormatPr defaultRowHeight="12.75"/>
  <cols>
    <col min="1" max="1" width="4.140625" customWidth="1"/>
    <col min="2" max="2" width="9.5703125" style="1" customWidth="1"/>
    <col min="3" max="4" width="21.5703125" customWidth="1"/>
    <col min="5" max="5" width="33.85546875" customWidth="1"/>
    <col min="6" max="6" width="4.28515625" customWidth="1"/>
  </cols>
  <sheetData>
    <row r="1" spans="1:6">
      <c r="A1" s="13" t="str">
        <f>Title</f>
        <v>Project Contracts Portfolio</v>
      </c>
      <c r="B1" s="14"/>
      <c r="C1" s="15"/>
      <c r="D1" s="15"/>
      <c r="E1" s="15"/>
      <c r="F1" s="16" t="str">
        <f>Document_Ref</f>
        <v>&lt;Document Reference Number&gt;</v>
      </c>
    </row>
    <row r="2" spans="1:6">
      <c r="A2" s="13"/>
      <c r="B2" s="14"/>
      <c r="C2" s="15"/>
      <c r="D2" s="15"/>
      <c r="E2" s="57">
        <f ca="1">NOW()</f>
        <v>41915.730943981478</v>
      </c>
      <c r="F2" s="57"/>
    </row>
    <row r="3" spans="1:6">
      <c r="A3" s="17"/>
      <c r="B3" s="18"/>
      <c r="C3" s="19"/>
      <c r="D3" s="19"/>
      <c r="E3" s="19"/>
      <c r="F3" s="19"/>
    </row>
    <row r="4" spans="1:6">
      <c r="A4" s="17"/>
      <c r="B4" s="18"/>
      <c r="C4" s="19"/>
      <c r="D4" s="19"/>
      <c r="E4" s="19"/>
      <c r="F4" s="19"/>
    </row>
    <row r="5" spans="1:6" ht="23.25">
      <c r="A5" s="17"/>
      <c r="B5" s="20" t="s">
        <v>3</v>
      </c>
      <c r="C5" s="19"/>
      <c r="D5" s="19"/>
      <c r="E5" s="19"/>
      <c r="F5" s="19"/>
    </row>
    <row r="6" spans="1:6">
      <c r="A6" s="17"/>
      <c r="B6" s="18"/>
      <c r="C6" s="19"/>
      <c r="D6" s="19"/>
      <c r="E6" s="19"/>
      <c r="F6" s="19"/>
    </row>
    <row r="7" spans="1:6" ht="18">
      <c r="A7" s="19"/>
      <c r="B7" s="21" t="s">
        <v>2</v>
      </c>
      <c r="C7" s="19"/>
      <c r="D7" s="19"/>
      <c r="E7" s="19"/>
      <c r="F7" s="19"/>
    </row>
    <row r="8" spans="1:6" ht="10.15" customHeight="1">
      <c r="A8" s="19"/>
      <c r="B8" s="21"/>
      <c r="C8" s="19"/>
      <c r="D8" s="19"/>
      <c r="E8" s="19"/>
      <c r="F8" s="19"/>
    </row>
    <row r="9" spans="1:6" s="4" customFormat="1" ht="26.45" customHeight="1">
      <c r="A9" s="22"/>
      <c r="B9" s="23" t="s">
        <v>4</v>
      </c>
      <c r="C9" s="24" t="s">
        <v>5</v>
      </c>
      <c r="D9" s="25" t="s">
        <v>6</v>
      </c>
      <c r="E9" s="26" t="s">
        <v>7</v>
      </c>
      <c r="F9" s="22"/>
    </row>
    <row r="10" spans="1:6">
      <c r="A10" s="19"/>
      <c r="B10" s="8">
        <v>40533</v>
      </c>
      <c r="C10" s="2" t="s">
        <v>16</v>
      </c>
      <c r="D10" s="7">
        <v>0.1</v>
      </c>
      <c r="E10" s="2"/>
      <c r="F10" s="19"/>
    </row>
    <row r="11" spans="1:6">
      <c r="A11" s="19"/>
      <c r="B11" s="8"/>
      <c r="C11" s="2"/>
      <c r="D11" s="7"/>
      <c r="E11" s="2"/>
      <c r="F11" s="19"/>
    </row>
    <row r="12" spans="1:6">
      <c r="A12" s="19"/>
      <c r="B12" s="8"/>
      <c r="C12" s="2"/>
      <c r="D12" s="7"/>
      <c r="E12" s="2"/>
      <c r="F12" s="19"/>
    </row>
    <row r="13" spans="1:6">
      <c r="A13" s="19"/>
      <c r="B13" s="8"/>
      <c r="C13" s="2"/>
      <c r="D13" s="7"/>
      <c r="E13" s="2"/>
      <c r="F13" s="19"/>
    </row>
    <row r="14" spans="1:6">
      <c r="A14" s="19"/>
      <c r="B14" s="27"/>
      <c r="C14" s="19"/>
      <c r="D14" s="28"/>
      <c r="E14" s="19"/>
      <c r="F14" s="19"/>
    </row>
    <row r="15" spans="1:6">
      <c r="A15" s="19"/>
      <c r="B15" s="18"/>
      <c r="C15" s="19"/>
      <c r="D15" s="19"/>
      <c r="E15" s="19"/>
      <c r="F15" s="19"/>
    </row>
    <row r="16" spans="1:6" ht="18" customHeight="1">
      <c r="A16" s="19"/>
      <c r="B16" s="21" t="s">
        <v>8</v>
      </c>
      <c r="C16" s="19"/>
      <c r="D16" s="19"/>
      <c r="E16" s="19"/>
      <c r="F16" s="19"/>
    </row>
    <row r="17" spans="1:6" ht="11.45" customHeight="1">
      <c r="A17" s="19"/>
      <c r="B17" s="21"/>
      <c r="C17" s="19"/>
      <c r="D17" s="19"/>
      <c r="E17" s="19"/>
      <c r="F17" s="19"/>
    </row>
    <row r="18" spans="1:6" s="4" customFormat="1" ht="26.45" customHeight="1">
      <c r="A18" s="22"/>
      <c r="B18" s="41" t="s">
        <v>0</v>
      </c>
      <c r="C18" s="24" t="s">
        <v>9</v>
      </c>
      <c r="D18" s="24" t="s">
        <v>10</v>
      </c>
      <c r="E18" s="26" t="s">
        <v>11</v>
      </c>
      <c r="F18" s="22"/>
    </row>
    <row r="19" spans="1:6">
      <c r="A19" s="19"/>
      <c r="B19" s="10" t="str">
        <f>IF(ISBLANK(C19),"",ROW()-ROW($B$18))</f>
        <v/>
      </c>
      <c r="C19" s="2"/>
      <c r="D19" s="2"/>
      <c r="E19" s="3"/>
      <c r="F19" s="19"/>
    </row>
    <row r="20" spans="1:6">
      <c r="A20" s="19"/>
      <c r="B20" s="10" t="str">
        <f>IF(ISBLANK(C20),"",ROW()-ROW($B$18))</f>
        <v/>
      </c>
      <c r="C20" s="2"/>
      <c r="D20" s="2"/>
      <c r="E20" s="3"/>
      <c r="F20" s="19"/>
    </row>
    <row r="21" spans="1:6">
      <c r="A21" s="19"/>
      <c r="B21" s="10" t="str">
        <f>IF(ISBLANK(C21),"",ROW()-ROW($B$18))</f>
        <v/>
      </c>
      <c r="C21" s="2"/>
      <c r="D21" s="2"/>
      <c r="E21" s="3"/>
      <c r="F21" s="19"/>
    </row>
    <row r="22" spans="1:6">
      <c r="A22" s="19"/>
      <c r="B22" s="10" t="str">
        <f>IF(ISBLANK(C22),"",ROW()-ROW($B$18))</f>
        <v/>
      </c>
      <c r="C22" s="2"/>
      <c r="D22" s="2"/>
      <c r="E22" s="3"/>
      <c r="F22" s="19"/>
    </row>
    <row r="23" spans="1:6">
      <c r="A23" s="17"/>
      <c r="B23" s="18"/>
      <c r="C23" s="19"/>
      <c r="D23" s="19"/>
      <c r="E23" s="19"/>
      <c r="F23" s="19"/>
    </row>
    <row r="24" spans="1:6">
      <c r="A24" s="17"/>
      <c r="B24" s="18"/>
      <c r="C24" s="19"/>
      <c r="D24" s="19"/>
      <c r="E24" s="19"/>
      <c r="F24" s="19"/>
    </row>
  </sheetData>
  <mergeCells count="1">
    <mergeCell ref="E2:F2"/>
  </mergeCells>
  <phoneticPr fontId="1" type="noConversion"/>
  <pageMargins left="0.74803149606299213" right="0.74803149606299213" top="0.53" bottom="0.98425196850393704" header="0.51181102362204722" footer="0.51181102362204722"/>
  <pageSetup paperSize="9" scale="92" fitToHeight="0" orientation="portrait" blackAndWhite="1" horizontalDpi="4294967293" r:id="rId1"/>
  <headerFooter alignWithMargins="0">
    <oddFooter>&amp;L&amp;7File Ref: &amp;F&amp;R&amp;8&amp;A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4">
    <pageSetUpPr fitToPage="1"/>
  </sheetPr>
  <dimension ref="A1:Q15"/>
  <sheetViews>
    <sheetView workbookViewId="0">
      <selection activeCell="C8" sqref="C8"/>
    </sheetView>
  </sheetViews>
  <sheetFormatPr defaultRowHeight="12.75"/>
  <cols>
    <col min="1" max="1" width="4.140625" customWidth="1"/>
    <col min="2" max="2" width="9.140625" customWidth="1"/>
    <col min="3" max="3" width="34.7109375" customWidth="1"/>
    <col min="4" max="4" width="12" customWidth="1"/>
    <col min="5" max="5" width="18.85546875" customWidth="1"/>
    <col min="6" max="6" width="12.7109375" customWidth="1"/>
    <col min="7" max="7" width="11.42578125" customWidth="1"/>
    <col min="8" max="8" width="8.7109375" customWidth="1"/>
    <col min="9" max="9" width="11.42578125" customWidth="1"/>
    <col min="10" max="10" width="13.42578125" customWidth="1"/>
    <col min="11" max="13" width="8.28515625" customWidth="1"/>
    <col min="14" max="14" width="8.140625" customWidth="1"/>
    <col min="15" max="15" width="14.140625" customWidth="1"/>
    <col min="16" max="16" width="37" customWidth="1"/>
    <col min="17" max="17" width="4.28515625" customWidth="1"/>
  </cols>
  <sheetData>
    <row r="1" spans="1:17">
      <c r="A1" s="36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37"/>
      <c r="Q1" s="19"/>
    </row>
    <row r="2" spans="1:17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35"/>
      <c r="Q3" s="19"/>
    </row>
    <row r="4" spans="1:17" s="4" customFormat="1" ht="39.75" customHeight="1">
      <c r="A4" s="22"/>
      <c r="B4" s="24" t="s">
        <v>29</v>
      </c>
      <c r="C4" s="24" t="s">
        <v>28</v>
      </c>
      <c r="D4" s="24" t="s">
        <v>30</v>
      </c>
      <c r="E4" s="24" t="s">
        <v>31</v>
      </c>
      <c r="F4" s="24" t="s">
        <v>38</v>
      </c>
      <c r="G4" s="24" t="s">
        <v>41</v>
      </c>
      <c r="H4" s="24" t="s">
        <v>32</v>
      </c>
      <c r="I4" s="24" t="s">
        <v>40</v>
      </c>
      <c r="J4" s="24" t="s">
        <v>39</v>
      </c>
      <c r="K4" s="24" t="s">
        <v>33</v>
      </c>
      <c r="L4" s="45" t="s">
        <v>34</v>
      </c>
      <c r="M4" s="45" t="s">
        <v>35</v>
      </c>
      <c r="N4" s="24" t="s">
        <v>36</v>
      </c>
      <c r="O4" s="45" t="s">
        <v>37</v>
      </c>
      <c r="P4" s="38" t="s">
        <v>1</v>
      </c>
      <c r="Q4" s="22"/>
    </row>
    <row r="5" spans="1:17" s="54" customFormat="1" ht="58.5" customHeight="1">
      <c r="A5" s="51"/>
      <c r="B5" s="52"/>
      <c r="C5" s="52"/>
      <c r="D5" s="55" t="s">
        <v>43</v>
      </c>
      <c r="E5" s="55" t="s">
        <v>42</v>
      </c>
      <c r="F5" s="52"/>
      <c r="G5" s="56" t="s">
        <v>44</v>
      </c>
      <c r="H5" s="52"/>
      <c r="I5" s="52"/>
      <c r="J5" s="52"/>
      <c r="K5" s="52"/>
      <c r="L5" s="52"/>
      <c r="M5" s="52"/>
      <c r="N5" s="52"/>
      <c r="O5" s="52"/>
      <c r="P5" s="53"/>
      <c r="Q5" s="51"/>
    </row>
    <row r="6" spans="1:17">
      <c r="A6" s="19"/>
      <c r="B6" s="11"/>
      <c r="C6" s="11"/>
      <c r="D6" s="11"/>
      <c r="E6" s="11"/>
      <c r="F6" s="47"/>
      <c r="G6" s="49"/>
      <c r="H6" s="48"/>
      <c r="I6" s="11"/>
      <c r="J6" s="11"/>
      <c r="K6" s="11"/>
      <c r="L6" s="11"/>
      <c r="M6" s="11"/>
      <c r="N6" s="11"/>
      <c r="O6" s="11"/>
      <c r="P6" s="43"/>
      <c r="Q6" s="19"/>
    </row>
    <row r="7" spans="1:17" ht="15.75">
      <c r="A7" s="19"/>
      <c r="B7" s="11"/>
      <c r="C7" s="11"/>
      <c r="D7" s="11"/>
      <c r="E7" s="11"/>
      <c r="F7" s="47"/>
      <c r="G7" s="50"/>
      <c r="H7" s="48"/>
      <c r="I7" s="11"/>
      <c r="J7" s="11"/>
      <c r="K7" s="11"/>
      <c r="L7" s="11"/>
      <c r="M7" s="11"/>
      <c r="N7" s="11"/>
      <c r="O7" s="11"/>
      <c r="P7" s="43"/>
      <c r="Q7" s="19"/>
    </row>
    <row r="8" spans="1:17" ht="15.75">
      <c r="A8" s="19"/>
      <c r="B8" s="11"/>
      <c r="C8" s="11"/>
      <c r="D8" s="11"/>
      <c r="E8" s="11"/>
      <c r="F8" s="47"/>
      <c r="G8" s="50"/>
      <c r="H8" s="48"/>
      <c r="I8" s="11"/>
      <c r="J8" s="11"/>
      <c r="K8" s="11"/>
      <c r="L8" s="11"/>
      <c r="M8" s="11"/>
      <c r="N8" s="11"/>
      <c r="O8" s="11"/>
      <c r="P8" s="42"/>
      <c r="Q8" s="19"/>
    </row>
    <row r="9" spans="1:17" ht="15.75">
      <c r="A9" s="19"/>
      <c r="B9" s="11"/>
      <c r="C9" s="11"/>
      <c r="D9" s="11"/>
      <c r="E9" s="11"/>
      <c r="F9" s="11"/>
      <c r="G9" s="46"/>
      <c r="H9" s="11"/>
      <c r="I9" s="11"/>
      <c r="J9" s="11"/>
      <c r="K9" s="11"/>
      <c r="L9" s="11"/>
      <c r="M9" s="11"/>
      <c r="N9" s="11"/>
      <c r="O9" s="11"/>
      <c r="P9" s="43"/>
      <c r="Q9" s="19"/>
    </row>
    <row r="10" spans="1:17">
      <c r="A10" s="19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42"/>
      <c r="Q10" s="19"/>
    </row>
    <row r="11" spans="1:17">
      <c r="A11" s="19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43"/>
      <c r="Q11" s="19"/>
    </row>
    <row r="12" spans="1:17">
      <c r="A12" s="1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3"/>
      <c r="Q12" s="19"/>
    </row>
    <row r="13" spans="1:17">
      <c r="A13" s="19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44"/>
      <c r="Q13" s="19"/>
    </row>
    <row r="14" spans="1:17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35"/>
      <c r="Q15" s="19"/>
    </row>
  </sheetData>
  <phoneticPr fontId="1" type="noConversion"/>
  <dataValidations count="1">
    <dataValidation type="list" allowBlank="1" showInputMessage="1" showErrorMessage="1" sqref="O5:O12">
      <formula1>RespType</formula1>
    </dataValidation>
  </dataValidations>
  <pageMargins left="0.74803149606299213" right="0.74803149606299213" top="0.53" bottom="0.61" header="0.51181102362204722" footer="0.31"/>
  <pageSetup paperSize="9" scale="87" fitToHeight="0" orientation="landscape" blackAndWhite="1" horizontalDpi="4294967293" r:id="rId1"/>
  <headerFooter alignWithMargins="0">
    <oddFooter>&amp;L&amp;8File Ref: &amp;F&amp;R&amp;8&amp;A
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Title Page</vt:lpstr>
      <vt:lpstr>Document Control</vt:lpstr>
      <vt:lpstr>Contracts Porfolio</vt:lpstr>
      <vt:lpstr>Author</vt:lpstr>
      <vt:lpstr>ChangeDate</vt:lpstr>
      <vt:lpstr>'Contracts Porfolio'!CustomTops</vt:lpstr>
      <vt:lpstr>'Document Control'!CustomTops</vt:lpstr>
      <vt:lpstr>'Title Page'!CustomTops</vt:lpstr>
      <vt:lpstr>Document_Ref</vt:lpstr>
      <vt:lpstr>Responsibilities</vt:lpstr>
      <vt:lpstr>Subject</vt:lpstr>
      <vt:lpstr>Title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AN.085 Contracts Portfolio</dc:title>
  <dc:creator>Oracle Methods</dc:creator>
  <cp:keywords>OUM</cp:keywords>
  <dc:description>Copyright © 2011, Oracle and/or its affiliates.  All rights reserved.</dc:description>
  <cp:lastModifiedBy>masander</cp:lastModifiedBy>
  <cp:lastPrinted>2010-08-08T22:18:37Z</cp:lastPrinted>
  <dcterms:created xsi:type="dcterms:W3CDTF">2007-10-09T20:56:26Z</dcterms:created>
  <dcterms:modified xsi:type="dcterms:W3CDTF">2014-10-03T21:32:33Z</dcterms:modified>
</cp:coreProperties>
</file>