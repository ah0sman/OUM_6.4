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30" yWindow="1095" windowWidth="15480" windowHeight="9375" tabRatio="818" firstSheet="1" activeTab="1"/>
  </bookViews>
  <sheets>
    <sheet name="BneWorkBookProperties" sheetId="4" state="veryHidden" r:id="rId1"/>
    <sheet name="Title Page" sheetId="24" r:id="rId2"/>
    <sheet name="General Instructions" sheetId="26" r:id="rId3"/>
    <sheet name="Document Control" sheetId="25" r:id="rId4"/>
    <sheet name="RA.027 Candidate Rules" sheetId="33" r:id="rId5"/>
  </sheets>
  <definedNames>
    <definedName name="Author">'Document Control'!$C$10</definedName>
    <definedName name="ChangeDate">'Document Control'!$B$10:$B$14</definedName>
    <definedName name="CustomTops" localSheetId="3">'Document Control'!$C$10:$C$13</definedName>
    <definedName name="CustomTops" localSheetId="1">'Title Page'!$C$24:$C$26</definedName>
    <definedName name="Document_Ref">'Title Page'!$D$19</definedName>
    <definedName name="No">#REF!</definedName>
    <definedName name="ObjectTypes">#REF!</definedName>
    <definedName name="Subject">'Title Page'!$C$14</definedName>
    <definedName name="Title">'Title Page'!$D$11</definedName>
  </definedNames>
  <calcPr calcId="125725"/>
</workbook>
</file>

<file path=xl/calcChain.xml><?xml version="1.0" encoding="utf-8"?>
<calcChain xmlns="http://schemas.openxmlformats.org/spreadsheetml/2006/main">
  <c r="E2" i="26"/>
  <c r="F1"/>
  <c r="B19" i="25"/>
  <c r="B20"/>
  <c r="B21"/>
  <c r="B22"/>
  <c r="D16" i="24"/>
  <c r="D17"/>
  <c r="D18"/>
  <c r="D20"/>
  <c r="E2" i="25"/>
  <c r="F1"/>
  <c r="A1"/>
  <c r="E2" i="24"/>
  <c r="D1"/>
</calcChain>
</file>

<file path=xl/comments1.xml><?xml version="1.0" encoding="utf-8"?>
<comments xmlns="http://schemas.openxmlformats.org/spreadsheetml/2006/main">
  <authors>
    <author>Volker Eckardt</author>
  </authors>
  <commentList>
    <comment ref="D16" authorId="0">
      <text>
        <r>
          <rPr>
            <sz val="8"/>
            <color indexed="81"/>
            <rFont val="Tahoma"/>
            <family val="2"/>
          </rPr>
          <t>Automatically retrieved from Document Control</t>
        </r>
      </text>
    </comment>
    <comment ref="D17" authorId="0">
      <text>
        <r>
          <rPr>
            <sz val="8"/>
            <color indexed="81"/>
            <rFont val="Tahoma"/>
            <family val="2"/>
          </rPr>
          <t>Automatically retrieved from document control</t>
        </r>
      </text>
    </comment>
    <comment ref="D18" authorId="0">
      <text>
        <r>
          <rPr>
            <sz val="8"/>
            <color indexed="81"/>
            <rFont val="Tahoma"/>
            <family val="2"/>
          </rPr>
          <t>Automatically retrieved from document control</t>
        </r>
      </text>
    </comment>
    <comment ref="D20" authorId="0">
      <text>
        <r>
          <rPr>
            <sz val="8"/>
            <color indexed="81"/>
            <rFont val="Tahoma"/>
            <family val="2"/>
          </rPr>
          <t>Automatically retrieved from document control</t>
        </r>
      </text>
    </comment>
  </commentList>
</comments>
</file>

<file path=xl/comments2.xml><?xml version="1.0" encoding="utf-8"?>
<comments xmlns="http://schemas.openxmlformats.org/spreadsheetml/2006/main">
  <authors>
    <author>Volker Eckardt</author>
  </authors>
  <commentList>
    <comment ref="B19" authorId="0">
      <text>
        <r>
          <rPr>
            <sz val="8"/>
            <color indexed="81"/>
            <rFont val="Tahoma"/>
            <family val="2"/>
          </rPr>
          <t>This Column contains a formula, just enter a name and the number will appear automatically</t>
        </r>
      </text>
    </comment>
  </commentList>
</comments>
</file>

<file path=xl/comments3.xml><?xml version="1.0" encoding="utf-8"?>
<comments xmlns="http://schemas.openxmlformats.org/spreadsheetml/2006/main">
  <authors>
    <author>Russell Pitts</author>
    <author>SueEllen Strapp</author>
    <author>Theresa Merenkov</author>
  </authors>
  <commentList>
    <comment ref="A8" authorId="0">
      <text>
        <r>
          <rPr>
            <b/>
            <sz val="10"/>
            <color indexed="81"/>
            <rFont val="Tahoma"/>
            <family val="2"/>
          </rPr>
          <t>This column is used to trace each row of this spreadsheet back to a specific row on the MoSCoW Traceability Matrix worksheet.</t>
        </r>
      </text>
    </comment>
    <comment ref="C8" authorId="1">
      <text>
        <r>
          <rPr>
            <sz val="8"/>
            <color indexed="81"/>
            <rFont val="Tahoma"/>
            <family val="2"/>
          </rPr>
          <t xml:space="preserve">Short title that is used to reference the requirement versus the supplemental reference ID or description.
</t>
        </r>
      </text>
    </comment>
    <comment ref="D8" authorId="1">
      <text>
        <r>
          <rPr>
            <sz val="8"/>
            <color indexed="81"/>
            <rFont val="Tahoma"/>
            <family val="2"/>
          </rPr>
          <t>Brief description of the business rule</t>
        </r>
      </text>
    </comment>
    <comment ref="F8" authorId="2">
      <text>
        <r>
          <rPr>
            <b/>
            <sz val="8"/>
            <color indexed="81"/>
            <rFont val="Tahoma"/>
            <family val="2"/>
          </rPr>
          <t>For rules that are calculations list the expression for the calculation and define each operand</t>
        </r>
        <r>
          <rPr>
            <sz val="8"/>
            <color indexed="81"/>
            <rFont val="Tahoma"/>
            <family val="2"/>
          </rPr>
          <t xml:space="preserve">
</t>
        </r>
      </text>
    </comment>
    <comment ref="G8" authorId="2">
      <text>
        <r>
          <rPr>
            <b/>
            <sz val="8"/>
            <color indexed="81"/>
            <rFont val="Tahoma"/>
            <family val="2"/>
          </rPr>
          <t>List the status of the Rule, these may vary by project</t>
        </r>
        <r>
          <rPr>
            <sz val="8"/>
            <color indexed="81"/>
            <rFont val="Tahoma"/>
            <family val="2"/>
          </rPr>
          <t xml:space="preserve">
</t>
        </r>
      </text>
    </comment>
    <comment ref="H8" authorId="2">
      <text>
        <r>
          <rPr>
            <b/>
            <sz val="8"/>
            <color indexed="81"/>
            <rFont val="Tahoma"/>
            <family val="2"/>
          </rPr>
          <t>List any rule ID's of related rules</t>
        </r>
        <r>
          <rPr>
            <sz val="8"/>
            <color indexed="81"/>
            <rFont val="Tahoma"/>
            <family val="2"/>
          </rPr>
          <t xml:space="preserve">
</t>
        </r>
      </text>
    </comment>
    <comment ref="I8" authorId="1">
      <text>
        <r>
          <rPr>
            <sz val="8"/>
            <color indexed="81"/>
            <rFont val="Tahoma"/>
            <family val="2"/>
          </rPr>
          <t xml:space="preserve">This column documents the source of the business rule  </t>
        </r>
      </text>
    </comment>
    <comment ref="J8" authorId="1">
      <text>
        <r>
          <rPr>
            <sz val="8"/>
            <color indexed="81"/>
            <rFont val="Tahoma"/>
            <family val="2"/>
          </rPr>
          <t>This column documents the business owner of the rule, which actor has the ownership or ability to change the rule</t>
        </r>
      </text>
    </comment>
  </commentList>
</comments>
</file>

<file path=xl/sharedStrings.xml><?xml version="1.0" encoding="utf-8"?>
<sst xmlns="http://schemas.openxmlformats.org/spreadsheetml/2006/main" count="114" uniqueCount="107">
  <si>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</si>
  <si>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</si>
  <si>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</si>
  <si>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</si>
  <si>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</si>
  <si>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</si>
  <si>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</si>
  <si>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</si>
  <si>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</si>
  <si>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</si>
  <si>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</si>
  <si>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</si>
  <si>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</si>
  <si>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</si>
  <si>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</si>
  <si>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</si>
  <si>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</si>
  <si>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</si>
  <si>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</si>
  <si>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</si>
  <si>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</si>
  <si>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</si>
  <si>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</si>
  <si>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</si>
  <si>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</si>
  <si>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</si>
  <si>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General Instructions</t>
  </si>
  <si>
    <t>MoSCoW ID</t>
  </si>
  <si>
    <t>Source</t>
  </si>
  <si>
    <t>Owner</t>
  </si>
  <si>
    <t>UC.10.00</t>
  </si>
  <si>
    <t>UC 15.00</t>
  </si>
  <si>
    <t>UC 20.00</t>
  </si>
  <si>
    <t>UC 30.00</t>
  </si>
  <si>
    <t>UC 40.00</t>
  </si>
  <si>
    <t>UC 50.00</t>
  </si>
  <si>
    <t>UC 60.00</t>
  </si>
  <si>
    <t>UC 70.00</t>
  </si>
  <si>
    <t>X</t>
  </si>
  <si>
    <t xml:space="preserve"> </t>
  </si>
  <si>
    <t xml:space="preserve">Project Rules are Identified from a number of sources including the original textual requirements, Enterprise Rules Repository, if available as well as </t>
  </si>
  <si>
    <t>Use Case and Business Process development</t>
  </si>
  <si>
    <t>Business Rule ID</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</si>
  <si>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</si>
  <si>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</si>
  <si>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</si>
  <si>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</si>
  <si>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</si>
  <si>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</si>
  <si>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</si>
  <si>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</si>
  <si>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</si>
  <si>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</si>
  <si>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</si>
  <si>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</si>
  <si>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</si>
  <si>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</si>
  <si>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</si>
  <si>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</si>
  <si>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</si>
  <si>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</si>
  <si>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</si>
  <si>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</si>
  <si>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</si>
  <si>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</si>
  <si>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</si>
  <si>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</si>
  <si>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</si>
  <si>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</si>
  <si>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</si>
  <si>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</si>
  <si>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</si>
  <si>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</si>
  <si>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</si>
  <si>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</si>
  <si>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</si>
  <si>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</si>
  <si>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</si>
  <si>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</si>
  <si>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 This worksheet can be used to trace Rules to use cases. The purpose of this traceability is to ensure that if a Rule changes, all effected use cases can identified and subsequently tested.</t>
  </si>
  <si>
    <t xml:space="preserve"> Description</t>
  </si>
  <si>
    <t>Rule Type</t>
  </si>
  <si>
    <t>Status</t>
  </si>
  <si>
    <t>Proposed</t>
  </si>
  <si>
    <t>Approved</t>
  </si>
  <si>
    <t>Expression (calculations)</t>
  </si>
  <si>
    <t>Use this sheet to record the candidate rules for the project.</t>
  </si>
  <si>
    <t>Related Rules</t>
  </si>
  <si>
    <t>Definitions of business terms</t>
  </si>
  <si>
    <t>Derivations</t>
  </si>
  <si>
    <t>Calculation</t>
  </si>
  <si>
    <t>Constraint</t>
  </si>
  <si>
    <t>Purchase orders may be submitted by Buyers, but only approved by Purchasing Manager</t>
  </si>
  <si>
    <t xml:space="preserve">A*B=C  </t>
  </si>
  <si>
    <t>Total Books</t>
  </si>
  <si>
    <t>Trading Community</t>
  </si>
  <si>
    <t>Trading Community Definition- See RA.042 Glossary</t>
  </si>
  <si>
    <t>PO submission Rule</t>
  </si>
  <si>
    <t>Request for Bid Maximum</t>
  </si>
  <si>
    <t>Buyers may submit Request for bid to trading community, not to exceed $5000</t>
  </si>
  <si>
    <t>A=max number of students, B=number of books,          C=total number of books for bookstore to order for class</t>
  </si>
  <si>
    <t>Use this template to create an inventory of Candidate Business Rules when an Enterprise Repository is not available.</t>
  </si>
  <si>
    <t xml:space="preserve">Also consider using this template as a traceability matrix.  For small projects you may choose to replace the Rules traceability sheet in the RD.055 MoSCoW list work product with this sheet to document the rules for your project AND to facilitate the traceability of high level requirements to business rules for individual projects.  </t>
  </si>
  <si>
    <t>In some situations, the project may be very large, in that case, it is recommended that an automated tool is used such as Oracle Enterprise Repository, rather than using this spreadsheet to produce your work product.</t>
  </si>
  <si>
    <t>This sheet for "candidate" Rules (RA.027) may be used to trace Rules to associated Use Cases, and may be combined into the MoSCoW Excel Workbook as a traceability mechanism</t>
  </si>
  <si>
    <t>Rules should be documented using a Rules Repository either using a Rules Engine directly into a software product, the Enterprise repository tool or using the work product associated with the Identify Candidate Rules (RA.027) task.</t>
  </si>
  <si>
    <t>RA.027 Candidate Business Rules</t>
  </si>
</sst>
</file>

<file path=xl/styles.xml><?xml version="1.0" encoding="utf-8"?>
<styleSheet xmlns="http://schemas.openxmlformats.org/spreadsheetml/2006/main">
  <numFmts count="1">
    <numFmt numFmtId="196" formatCode="0.0"/>
  </numFmts>
  <fonts count="30">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8"/>
      <color indexed="81"/>
      <name val="Tahoma"/>
      <family val="2"/>
    </font>
    <font>
      <sz val="10"/>
      <color indexed="17"/>
      <name val="Arial"/>
      <family val="2"/>
    </font>
    <font>
      <b/>
      <sz val="10"/>
      <color indexed="8"/>
      <name val="Arial"/>
      <family val="2"/>
    </font>
    <font>
      <sz val="10"/>
      <color indexed="10"/>
      <name val="Arial"/>
      <family val="2"/>
    </font>
    <font>
      <b/>
      <sz val="10"/>
      <name val="Book Antiqua"/>
      <family val="1"/>
    </font>
    <font>
      <sz val="10"/>
      <name val="Book Antiqua"/>
      <family val="1"/>
    </font>
    <font>
      <b/>
      <sz val="10"/>
      <color indexed="81"/>
      <name val="Tahoma"/>
      <family val="2"/>
    </font>
    <font>
      <sz val="10"/>
      <color indexed="10"/>
      <name val="Book Antiqua"/>
      <family val="1"/>
    </font>
    <font>
      <sz val="10"/>
      <color indexed="17"/>
      <name val="Book Antiqua"/>
      <family val="1"/>
    </font>
    <font>
      <b/>
      <sz val="10"/>
      <color indexed="17"/>
      <name val="Arial"/>
      <family val="2"/>
    </font>
    <font>
      <b/>
      <sz val="10"/>
      <color theme="1"/>
      <name val="Arial"/>
      <family val="2"/>
    </font>
    <font>
      <sz val="10"/>
      <color rgb="FFFF0000"/>
      <name val="Arial"/>
      <family val="2"/>
    </font>
  </fonts>
  <fills count="9">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8"/>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59999389629810485"/>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2">
    <xf numFmtId="0" fontId="0" fillId="0" borderId="0"/>
    <xf numFmtId="0" fontId="4" fillId="0" borderId="0" applyNumberFormat="0" applyFill="0" applyBorder="0" applyAlignment="0" applyProtection="0">
      <alignment vertical="top"/>
      <protection locked="0"/>
    </xf>
  </cellStyleXfs>
  <cellXfs count="105">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96" fontId="2" fillId="2" borderId="1" xfId="0" applyNumberFormat="1" applyFont="1" applyFill="1" applyBorder="1" applyAlignment="1" applyProtection="1">
      <alignment horizontal="left" vertical="center" wrapText="1"/>
      <protection locked="0"/>
    </xf>
    <xf numFmtId="196"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96"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23" fillId="0" borderId="0" xfId="0" applyFont="1"/>
    <xf numFmtId="0" fontId="23" fillId="0" borderId="5" xfId="0" applyFont="1" applyBorder="1" applyAlignment="1">
      <alignment vertical="top" wrapText="1"/>
    </xf>
    <xf numFmtId="14" fontId="9" fillId="6" borderId="0" xfId="0" applyNumberFormat="1" applyFont="1" applyFill="1" applyAlignment="1">
      <alignment horizontal="center"/>
    </xf>
    <xf numFmtId="0" fontId="9" fillId="6" borderId="0" xfId="0" applyFont="1" applyFill="1"/>
    <xf numFmtId="196" fontId="9" fillId="6" borderId="0" xfId="0" applyNumberFormat="1" applyFont="1" applyFill="1" applyAlignment="1">
      <alignment horizontal="left"/>
    </xf>
    <xf numFmtId="0" fontId="8" fillId="6" borderId="0" xfId="1" applyFont="1" applyFill="1" applyAlignment="1" applyProtection="1"/>
    <xf numFmtId="0" fontId="9" fillId="6" borderId="0" xfId="0" applyFont="1" applyFill="1" applyAlignment="1">
      <alignment vertical="top"/>
    </xf>
    <xf numFmtId="49" fontId="9" fillId="6" borderId="0" xfId="0" applyNumberFormat="1" applyFont="1" applyFill="1" applyAlignment="1">
      <alignment horizontal="center"/>
    </xf>
    <xf numFmtId="49" fontId="10" fillId="6" borderId="0" xfId="0" applyNumberFormat="1" applyFont="1" applyFill="1" applyAlignment="1">
      <alignment horizontal="left"/>
    </xf>
    <xf numFmtId="0" fontId="23" fillId="0" borderId="5" xfId="0" applyFont="1" applyBorder="1" applyAlignment="1">
      <alignment horizontal="left" vertical="top"/>
    </xf>
    <xf numFmtId="0" fontId="23" fillId="0" borderId="5" xfId="0" applyFont="1" applyBorder="1" applyAlignment="1">
      <alignment horizontal="left" vertical="top" wrapText="1"/>
    </xf>
    <xf numFmtId="0" fontId="23" fillId="0" borderId="0" xfId="0" applyFont="1" applyAlignment="1">
      <alignment vertical="top" wrapText="1"/>
    </xf>
    <xf numFmtId="0" fontId="23" fillId="0" borderId="5" xfId="0" applyFont="1" applyFill="1" applyBorder="1" applyAlignment="1">
      <alignment horizontal="left" vertical="top" wrapText="1"/>
    </xf>
    <xf numFmtId="0" fontId="23" fillId="0" borderId="5" xfId="0" applyFont="1" applyBorder="1"/>
    <xf numFmtId="0" fontId="23" fillId="0" borderId="5" xfId="0" applyFont="1" applyFill="1" applyBorder="1"/>
    <xf numFmtId="0" fontId="23" fillId="0" borderId="5" xfId="0" applyFont="1" applyFill="1" applyBorder="1" applyAlignment="1">
      <alignment horizontal="left" vertical="top"/>
    </xf>
    <xf numFmtId="0" fontId="23" fillId="0" borderId="0" xfId="0" applyFont="1" applyFill="1"/>
    <xf numFmtId="0" fontId="23" fillId="0" borderId="0" xfId="0" applyFont="1" applyAlignment="1">
      <alignment wrapText="1"/>
    </xf>
    <xf numFmtId="0" fontId="23" fillId="0" borderId="5" xfId="0" applyFont="1" applyBorder="1" applyAlignment="1">
      <alignment wrapText="1"/>
    </xf>
    <xf numFmtId="0" fontId="23" fillId="2" borderId="0" xfId="0" applyFont="1" applyFill="1"/>
    <xf numFmtId="0" fontId="23" fillId="2" borderId="0" xfId="0" applyFont="1" applyFill="1" applyAlignment="1"/>
    <xf numFmtId="0" fontId="23" fillId="0" borderId="0" xfId="0" applyFont="1" applyAlignment="1"/>
    <xf numFmtId="0" fontId="23" fillId="0" borderId="5" xfId="0" applyFont="1" applyBorder="1" applyAlignment="1"/>
    <xf numFmtId="0" fontId="23" fillId="0" borderId="6" xfId="0" applyFont="1" applyBorder="1"/>
    <xf numFmtId="0" fontId="23" fillId="0" borderId="6" xfId="0" applyFont="1" applyFill="1" applyBorder="1"/>
    <xf numFmtId="0" fontId="26" fillId="0" borderId="5" xfId="0" applyFont="1" applyFill="1" applyBorder="1" applyAlignment="1">
      <alignment vertical="top" wrapText="1"/>
    </xf>
    <xf numFmtId="0" fontId="22" fillId="0" borderId="5" xfId="0" applyFont="1" applyBorder="1" applyAlignment="1">
      <alignment horizontal="center" vertical="center" wrapText="1"/>
    </xf>
    <xf numFmtId="0" fontId="7" fillId="0" borderId="5" xfId="0" applyFont="1" applyBorder="1" applyAlignment="1">
      <alignment horizontal="left" vertical="top"/>
    </xf>
    <xf numFmtId="0" fontId="7" fillId="0" borderId="5" xfId="0" applyFont="1" applyBorder="1" applyAlignment="1">
      <alignment horizontal="center" vertical="top"/>
    </xf>
    <xf numFmtId="0" fontId="7" fillId="0" borderId="5" xfId="0" applyFont="1" applyBorder="1" applyAlignment="1">
      <alignment horizontal="left" vertical="top" wrapText="1"/>
    </xf>
    <xf numFmtId="0" fontId="7" fillId="0" borderId="5" xfId="0" applyFont="1" applyBorder="1" applyAlignment="1">
      <alignment vertical="top" wrapText="1"/>
    </xf>
    <xf numFmtId="0" fontId="7" fillId="2" borderId="0" xfId="0" applyFont="1" applyFill="1" applyAlignment="1">
      <alignment horizontal="left" vertical="top"/>
    </xf>
    <xf numFmtId="0" fontId="7" fillId="2" borderId="0" xfId="0" applyFont="1" applyFill="1" applyAlignment="1">
      <alignment horizontal="center" vertical="top"/>
    </xf>
    <xf numFmtId="0" fontId="29" fillId="2" borderId="0" xfId="0" applyFont="1" applyFill="1" applyAlignment="1">
      <alignment horizontal="left" vertical="top"/>
    </xf>
    <xf numFmtId="0" fontId="20" fillId="7" borderId="6" xfId="0" applyFont="1" applyFill="1" applyBorder="1" applyAlignment="1">
      <alignment horizontal="center" vertical="top" wrapText="1"/>
    </xf>
    <xf numFmtId="0" fontId="23" fillId="0" borderId="5" xfId="0" applyFont="1" applyBorder="1" applyAlignment="1">
      <alignment horizontal="center" vertical="center" wrapText="1"/>
    </xf>
    <xf numFmtId="0" fontId="22" fillId="0" borderId="5" xfId="0" applyFont="1" applyFill="1" applyBorder="1" applyAlignment="1">
      <alignment horizontal="center" vertical="center" wrapText="1"/>
    </xf>
    <xf numFmtId="0" fontId="23" fillId="0" borderId="5" xfId="0" applyFont="1" applyFill="1" applyBorder="1" applyAlignment="1"/>
    <xf numFmtId="0" fontId="23" fillId="0" borderId="5" xfId="0" applyFont="1" applyFill="1" applyBorder="1" applyAlignment="1">
      <alignment horizontal="center" vertical="center" wrapText="1"/>
    </xf>
    <xf numFmtId="0" fontId="25" fillId="0" borderId="5" xfId="0" applyFont="1" applyBorder="1" applyAlignment="1">
      <alignment vertical="top" wrapText="1"/>
    </xf>
    <xf numFmtId="0" fontId="23" fillId="0" borderId="5" xfId="0" applyFont="1" applyFill="1" applyBorder="1" applyAlignment="1">
      <alignment wrapText="1"/>
    </xf>
    <xf numFmtId="0" fontId="23" fillId="0" borderId="0" xfId="0" applyFont="1" applyAlignment="1">
      <alignment horizontal="left" vertical="top"/>
    </xf>
    <xf numFmtId="0" fontId="7" fillId="5" borderId="7" xfId="0" applyFont="1" applyFill="1" applyBorder="1"/>
    <xf numFmtId="0" fontId="7" fillId="5" borderId="8" xfId="0" applyFont="1" applyFill="1" applyBorder="1" applyAlignment="1">
      <alignment horizontal="center" vertical="top"/>
    </xf>
    <xf numFmtId="0" fontId="7" fillId="5" borderId="8" xfId="0" applyFont="1" applyFill="1" applyBorder="1"/>
    <xf numFmtId="0" fontId="19" fillId="5" borderId="9" xfId="0" applyFont="1" applyFill="1" applyBorder="1" applyAlignment="1">
      <alignment horizontal="left" textRotation="68" wrapText="1"/>
    </xf>
    <xf numFmtId="0" fontId="19" fillId="5" borderId="9" xfId="0" applyFont="1" applyFill="1" applyBorder="1" applyAlignment="1">
      <alignment textRotation="68" wrapText="1"/>
    </xf>
    <xf numFmtId="0" fontId="19" fillId="5" borderId="10" xfId="0" applyFont="1" applyFill="1" applyBorder="1" applyAlignment="1">
      <alignment textRotation="68" wrapText="1"/>
    </xf>
    <xf numFmtId="0" fontId="27" fillId="7" borderId="6" xfId="0" applyFont="1" applyFill="1" applyBorder="1" applyAlignment="1">
      <alignment horizontal="center" vertical="top" wrapText="1"/>
    </xf>
    <xf numFmtId="0" fontId="7" fillId="5" borderId="8" xfId="0" applyFont="1" applyFill="1" applyBorder="1" applyAlignment="1">
      <alignment wrapText="1"/>
    </xf>
    <xf numFmtId="0" fontId="7" fillId="0" borderId="0" xfId="0" applyFont="1" applyAlignment="1">
      <alignment horizontal="left" vertical="top" wrapText="1"/>
    </xf>
    <xf numFmtId="0" fontId="20" fillId="8" borderId="6" xfId="0" applyFont="1" applyFill="1" applyBorder="1" applyAlignment="1">
      <alignment horizontal="center" vertical="top" wrapText="1"/>
    </xf>
    <xf numFmtId="0" fontId="20" fillId="7" borderId="11" xfId="0" applyFont="1" applyFill="1" applyBorder="1" applyAlignment="1">
      <alignment horizontal="center" vertical="top" wrapText="1"/>
    </xf>
    <xf numFmtId="0" fontId="28" fillId="7" borderId="6" xfId="0" applyFont="1" applyFill="1" applyBorder="1" applyAlignment="1">
      <alignment horizontal="center" vertical="top" wrapText="1"/>
    </xf>
    <xf numFmtId="0" fontId="7" fillId="0" borderId="0" xfId="0" applyFont="1" applyAlignment="1">
      <alignment horizontal="center" vertical="top"/>
    </xf>
    <xf numFmtId="0" fontId="7" fillId="0" borderId="0" xfId="0" applyFont="1" applyAlignment="1">
      <alignment horizontal="left" vertical="top"/>
    </xf>
    <xf numFmtId="0" fontId="23" fillId="2" borderId="0" xfId="0" applyFont="1" applyFill="1" applyAlignment="1">
      <alignment horizontal="left" vertical="top"/>
    </xf>
    <xf numFmtId="0" fontId="7" fillId="5" borderId="8" xfId="0" applyFont="1" applyFill="1" applyBorder="1" applyAlignment="1">
      <alignment horizontal="left" vertical="top"/>
    </xf>
    <xf numFmtId="0" fontId="20" fillId="8" borderId="6" xfId="0" applyFont="1" applyFill="1" applyBorder="1" applyAlignment="1">
      <alignment horizontal="left" vertical="top" wrapText="1"/>
    </xf>
    <xf numFmtId="0" fontId="23" fillId="0" borderId="0" xfId="0" applyFont="1" applyAlignment="1">
      <alignment horizontal="left" vertical="top" wrapText="1"/>
    </xf>
    <xf numFmtId="0" fontId="25" fillId="0" borderId="5" xfId="0" applyFont="1" applyBorder="1" applyAlignment="1">
      <alignment horizontal="left" vertical="top" wrapText="1"/>
    </xf>
    <xf numFmtId="0" fontId="23" fillId="2" borderId="0" xfId="0" applyFont="1" applyFill="1" applyAlignment="1">
      <alignment wrapText="1"/>
    </xf>
    <xf numFmtId="0" fontId="7" fillId="0" borderId="5" xfId="0" applyFont="1" applyFill="1" applyBorder="1" applyAlignment="1">
      <alignment horizontal="left" vertical="top"/>
    </xf>
    <xf numFmtId="0" fontId="21" fillId="0" borderId="5" xfId="0" applyFont="1" applyBorder="1" applyAlignment="1">
      <alignment horizontal="left" vertical="top" wrapText="1"/>
    </xf>
    <xf numFmtId="14" fontId="6" fillId="0" borderId="0" xfId="0" applyNumberFormat="1" applyFont="1" applyAlignment="1">
      <alignment horizontal="right"/>
    </xf>
    <xf numFmtId="22" fontId="6" fillId="0" borderId="0" xfId="0" applyNumberFormat="1" applyFont="1" applyAlignment="1">
      <alignment horizontal="right"/>
    </xf>
    <xf numFmtId="14" fontId="2" fillId="2" borderId="12" xfId="0" applyNumberFormat="1" applyFont="1" applyFill="1" applyBorder="1" applyAlignment="1" applyProtection="1">
      <alignment horizontal="left" vertical="top" wrapText="1"/>
      <protection locked="0"/>
    </xf>
    <xf numFmtId="0" fontId="0" fillId="0" borderId="13" xfId="0" applyBorder="1" applyAlignment="1">
      <alignment horizontal="left" vertical="top" wrapText="1"/>
    </xf>
    <xf numFmtId="0" fontId="0" fillId="0" borderId="4"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214"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33400" y="82486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8</xdr:row>
      <xdr:rowOff>285750</xdr:rowOff>
    </xdr:to>
    <xdr:pic>
      <xdr:nvPicPr>
        <xdr:cNvPr id="2215"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2"/>
  <dimension ref="A1"/>
  <sheetViews>
    <sheetView workbookViewId="0"/>
  </sheetViews>
  <sheetFormatPr defaultRowHeight="12.7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sheetPr codeName="Sheet17"/>
  <dimension ref="A1:F32"/>
  <sheetViews>
    <sheetView tabSelected="1" workbookViewId="0"/>
  </sheetViews>
  <sheetFormatPr defaultRowHeight="12.75"/>
  <cols>
    <col min="1" max="1" width="4.140625" customWidth="1"/>
    <col min="2" max="2" width="3.7109375" style="1" customWidth="1"/>
    <col min="3" max="3" width="21.5703125" customWidth="1"/>
    <col min="4" max="4" width="47.7109375" customWidth="1"/>
    <col min="5" max="6" width="5.28515625" customWidth="1"/>
  </cols>
  <sheetData>
    <row r="1" spans="1:6">
      <c r="A1" s="11" t="s">
        <v>106</v>
      </c>
      <c r="B1" s="12"/>
      <c r="C1" s="13"/>
      <c r="D1" s="101" t="str">
        <f>Document_Ref</f>
        <v>&lt;Document Reference Number&gt;</v>
      </c>
      <c r="E1" s="101"/>
      <c r="F1" s="101"/>
    </row>
    <row r="2" spans="1:6">
      <c r="A2" s="11"/>
      <c r="B2" s="12"/>
      <c r="C2" s="13"/>
      <c r="D2" s="13"/>
      <c r="E2" s="100">
        <f ca="1">NOW()</f>
        <v>41915.733690277775</v>
      </c>
      <c r="F2" s="100"/>
    </row>
    <row r="3" spans="1:6">
      <c r="A3" s="15"/>
      <c r="B3" s="16"/>
      <c r="C3" s="17"/>
      <c r="D3" s="17"/>
      <c r="E3" s="17"/>
      <c r="F3" s="17"/>
    </row>
    <row r="4" spans="1:6">
      <c r="A4" s="15"/>
      <c r="B4" s="16"/>
      <c r="C4" s="17"/>
      <c r="D4" s="17"/>
      <c r="E4" s="17"/>
      <c r="F4" s="17"/>
    </row>
    <row r="5" spans="1:6">
      <c r="A5" s="15"/>
      <c r="B5" s="16"/>
      <c r="C5" s="17"/>
      <c r="D5" s="17"/>
      <c r="E5" s="17"/>
      <c r="F5" s="17"/>
    </row>
    <row r="6" spans="1:6">
      <c r="A6" s="15"/>
      <c r="B6" s="16"/>
      <c r="C6" s="17"/>
      <c r="D6" s="17"/>
      <c r="E6" s="17"/>
      <c r="F6" s="17"/>
    </row>
    <row r="7" spans="1:6">
      <c r="A7" s="15"/>
      <c r="B7" s="16"/>
      <c r="C7" s="17"/>
      <c r="D7" s="17"/>
      <c r="E7" s="17"/>
      <c r="F7" s="17"/>
    </row>
    <row r="8" spans="1:6">
      <c r="A8" s="15"/>
      <c r="B8" s="16"/>
      <c r="C8" s="17"/>
      <c r="D8" s="17"/>
      <c r="E8" s="17"/>
      <c r="F8" s="17"/>
    </row>
    <row r="9" spans="1:6" ht="23.25">
      <c r="A9" s="17"/>
      <c r="B9" s="18"/>
      <c r="C9" s="17"/>
      <c r="D9" s="17"/>
      <c r="E9" s="17"/>
      <c r="F9" s="17"/>
    </row>
    <row r="10" spans="1:6" ht="23.25">
      <c r="A10" s="17"/>
      <c r="B10" s="18"/>
      <c r="C10" s="18" t="s">
        <v>11</v>
      </c>
      <c r="D10" s="17"/>
      <c r="E10" s="17"/>
      <c r="F10" s="17"/>
    </row>
    <row r="11" spans="1:6" ht="23.25">
      <c r="A11" s="17"/>
      <c r="B11" s="18"/>
      <c r="C11" s="27"/>
      <c r="D11" s="28" t="s">
        <v>106</v>
      </c>
      <c r="E11" s="17"/>
      <c r="F11" s="17"/>
    </row>
    <row r="12" spans="1:6" ht="23.25">
      <c r="A12" s="17"/>
      <c r="B12" s="18"/>
      <c r="C12" s="18"/>
      <c r="D12" s="17"/>
      <c r="E12" s="17"/>
      <c r="F12" s="17"/>
    </row>
    <row r="13" spans="1:6" ht="23.25">
      <c r="A13" s="17"/>
      <c r="B13" s="18"/>
      <c r="C13" s="29" t="s">
        <v>12</v>
      </c>
      <c r="D13" s="17"/>
      <c r="E13" s="17"/>
      <c r="F13" s="17"/>
    </row>
    <row r="14" spans="1:6" ht="23.25">
      <c r="A14" s="17"/>
      <c r="B14" s="18"/>
      <c r="C14" s="29" t="s">
        <v>13</v>
      </c>
      <c r="D14" s="17"/>
      <c r="E14" s="17"/>
      <c r="F14" s="17"/>
    </row>
    <row r="15" spans="1:6" ht="109.15" customHeight="1">
      <c r="A15" s="17"/>
      <c r="B15" s="18"/>
      <c r="C15" s="17"/>
      <c r="D15" s="17"/>
      <c r="E15" s="17"/>
      <c r="F15" s="17"/>
    </row>
    <row r="16" spans="1:6" ht="17.45" customHeight="1">
      <c r="A16" s="17"/>
      <c r="B16" s="18"/>
      <c r="C16" s="30" t="s">
        <v>14</v>
      </c>
      <c r="D16" s="34" t="str">
        <f>Author</f>
        <v>&lt;Author&gt;</v>
      </c>
      <c r="E16" s="17"/>
      <c r="F16" s="17"/>
    </row>
    <row r="17" spans="1:6" ht="17.45" customHeight="1">
      <c r="A17" s="17"/>
      <c r="B17" s="18"/>
      <c r="C17" s="30" t="s">
        <v>16</v>
      </c>
      <c r="D17" s="9">
        <f>MIN(ChangeDate)</f>
        <v>40179</v>
      </c>
      <c r="E17" s="17"/>
      <c r="F17" s="17"/>
    </row>
    <row r="18" spans="1:6" ht="17.45" customHeight="1">
      <c r="A18" s="17"/>
      <c r="B18" s="18"/>
      <c r="C18" s="30" t="s">
        <v>17</v>
      </c>
      <c r="D18" s="9">
        <f>MAX(ChangeDate)</f>
        <v>40179</v>
      </c>
      <c r="E18" s="17"/>
      <c r="F18" s="17"/>
    </row>
    <row r="19" spans="1:6" ht="17.45" customHeight="1">
      <c r="A19" s="17"/>
      <c r="B19" s="18"/>
      <c r="C19" s="30" t="s">
        <v>18</v>
      </c>
      <c r="D19" s="5" t="s">
        <v>25</v>
      </c>
      <c r="E19" s="17"/>
      <c r="F19" s="17"/>
    </row>
    <row r="20" spans="1:6" ht="17.45" customHeight="1">
      <c r="A20" s="17"/>
      <c r="B20" s="18"/>
      <c r="C20" s="31" t="s">
        <v>19</v>
      </c>
      <c r="D20" s="6" t="str">
        <f>SUBSTITUTE(MAX('Document Control'!D10:D14),",",".")</f>
        <v>0.1</v>
      </c>
      <c r="E20" s="17"/>
      <c r="F20" s="17"/>
    </row>
    <row r="21" spans="1:6" ht="71.45" customHeight="1">
      <c r="A21" s="17"/>
      <c r="B21" s="18"/>
      <c r="C21" s="17"/>
      <c r="D21" s="17"/>
      <c r="E21" s="17"/>
      <c r="F21" s="17"/>
    </row>
    <row r="22" spans="1:6" ht="23.25">
      <c r="A22" s="17"/>
      <c r="B22" s="18"/>
      <c r="C22" s="32" t="s">
        <v>20</v>
      </c>
      <c r="D22" s="17"/>
      <c r="E22" s="17"/>
      <c r="F22" s="17"/>
    </row>
    <row r="23" spans="1:6" s="4" customFormat="1" ht="26.45" customHeight="1">
      <c r="A23" s="20"/>
      <c r="B23" s="18"/>
      <c r="C23" s="30" t="s">
        <v>23</v>
      </c>
      <c r="D23" s="24" t="s">
        <v>24</v>
      </c>
      <c r="E23" s="20"/>
      <c r="F23" s="20"/>
    </row>
    <row r="24" spans="1:6" ht="23.25">
      <c r="A24" s="17"/>
      <c r="B24" s="18"/>
      <c r="C24" s="5" t="s">
        <v>21</v>
      </c>
      <c r="D24" s="5"/>
      <c r="E24" s="17"/>
      <c r="F24" s="17"/>
    </row>
    <row r="25" spans="1:6" ht="23.25">
      <c r="A25" s="17"/>
      <c r="B25" s="18"/>
      <c r="C25" s="5" t="s">
        <v>22</v>
      </c>
      <c r="D25" s="5"/>
      <c r="E25" s="17"/>
      <c r="F25" s="17"/>
    </row>
    <row r="26" spans="1:6" ht="23.25">
      <c r="A26" s="17"/>
      <c r="B26" s="18"/>
      <c r="C26" s="2"/>
      <c r="D26" s="2"/>
      <c r="E26" s="17"/>
      <c r="F26" s="17"/>
    </row>
    <row r="27" spans="1:6">
      <c r="A27" s="17"/>
      <c r="B27" s="16"/>
      <c r="C27" s="17"/>
      <c r="D27" s="17"/>
      <c r="E27" s="33"/>
      <c r="F27" s="33"/>
    </row>
    <row r="28" spans="1:6">
      <c r="A28" s="17"/>
      <c r="B28" s="16"/>
      <c r="C28" s="17"/>
      <c r="D28" s="17"/>
      <c r="E28" s="33"/>
      <c r="F28" s="33"/>
    </row>
    <row r="29" spans="1:6">
      <c r="A29" s="17"/>
      <c r="B29" s="16"/>
      <c r="C29" s="17"/>
      <c r="D29" s="17"/>
      <c r="E29" s="33"/>
      <c r="F29" s="33"/>
    </row>
    <row r="30" spans="1:6">
      <c r="A30" s="17"/>
      <c r="B30" s="16"/>
      <c r="C30" s="17"/>
      <c r="D30" s="17"/>
      <c r="E30" s="33"/>
      <c r="F30" s="33"/>
    </row>
    <row r="31" spans="1:6">
      <c r="A31" s="17"/>
      <c r="B31" s="16"/>
      <c r="C31" s="17"/>
      <c r="D31" s="17"/>
      <c r="E31" s="33"/>
      <c r="F31" s="33"/>
    </row>
    <row r="32" spans="1:6">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dimension ref="A1:F24"/>
  <sheetViews>
    <sheetView workbookViewId="0">
      <selection activeCell="D15" sqref="D15"/>
    </sheetView>
  </sheetViews>
  <sheetFormatPr defaultRowHeight="12.75"/>
  <cols>
    <col min="1" max="1" width="4.140625" customWidth="1"/>
    <col min="2" max="2" width="9.5703125" style="1" customWidth="1"/>
    <col min="3" max="3" width="21.5703125" customWidth="1"/>
    <col min="4" max="4" width="74.140625" customWidth="1"/>
    <col min="5" max="5" width="12" customWidth="1"/>
    <col min="6" max="6" width="4.28515625" customWidth="1"/>
  </cols>
  <sheetData>
    <row r="1" spans="1:6">
      <c r="A1" s="11" t="s">
        <v>106</v>
      </c>
      <c r="B1" s="12"/>
      <c r="C1" s="13"/>
      <c r="D1" s="13"/>
      <c r="E1" s="13"/>
      <c r="F1" s="14" t="str">
        <f>Document_Ref</f>
        <v>&lt;Document Reference Number&gt;</v>
      </c>
    </row>
    <row r="2" spans="1:6">
      <c r="A2" s="11"/>
      <c r="B2" s="12"/>
      <c r="C2" s="13"/>
      <c r="D2" s="13"/>
      <c r="E2" s="100">
        <f ca="1">NOW()</f>
        <v>41915.733690277775</v>
      </c>
      <c r="F2" s="100"/>
    </row>
    <row r="3" spans="1:6">
      <c r="A3" s="41"/>
      <c r="B3" s="43"/>
      <c r="C3" s="39"/>
      <c r="D3" s="39"/>
      <c r="E3" s="39"/>
      <c r="F3" s="39"/>
    </row>
    <row r="4" spans="1:6">
      <c r="A4" s="41"/>
      <c r="B4" s="43"/>
      <c r="C4" s="39"/>
      <c r="D4" s="39"/>
      <c r="E4" s="39"/>
      <c r="F4" s="39"/>
    </row>
    <row r="5" spans="1:6" ht="23.25">
      <c r="A5" s="41"/>
      <c r="B5" s="44" t="s">
        <v>26</v>
      </c>
      <c r="C5" s="39"/>
      <c r="D5" s="39"/>
      <c r="E5" s="39"/>
      <c r="F5" s="39"/>
    </row>
    <row r="6" spans="1:6">
      <c r="A6" s="41"/>
      <c r="B6" s="43"/>
      <c r="C6" s="39"/>
      <c r="D6" s="39"/>
      <c r="E6" s="39"/>
      <c r="F6" s="39"/>
    </row>
    <row r="7" spans="1:6">
      <c r="A7" s="39">
        <v>1</v>
      </c>
      <c r="B7" s="102" t="s">
        <v>101</v>
      </c>
      <c r="C7" s="103"/>
      <c r="D7" s="103"/>
      <c r="E7" s="104"/>
      <c r="F7" s="39"/>
    </row>
    <row r="8" spans="1:6" ht="39.75" customHeight="1">
      <c r="A8" s="42">
        <v>2</v>
      </c>
      <c r="B8" s="102" t="s">
        <v>102</v>
      </c>
      <c r="C8" s="103"/>
      <c r="D8" s="103"/>
      <c r="E8" s="104"/>
      <c r="F8" s="39"/>
    </row>
    <row r="9" spans="1:6" ht="40.5" customHeight="1">
      <c r="A9" s="42">
        <v>3</v>
      </c>
      <c r="B9" s="102" t="s">
        <v>103</v>
      </c>
      <c r="C9" s="103"/>
      <c r="D9" s="103"/>
      <c r="E9" s="104"/>
      <c r="F9" s="39"/>
    </row>
    <row r="10" spans="1:6">
      <c r="A10" s="39"/>
      <c r="B10" s="38"/>
      <c r="C10" s="39"/>
      <c r="D10" s="40"/>
      <c r="E10" s="39"/>
      <c r="F10" s="39"/>
    </row>
    <row r="11" spans="1:6">
      <c r="A11" s="39"/>
      <c r="B11" s="38"/>
      <c r="C11" s="39"/>
      <c r="D11" s="40"/>
      <c r="E11" s="39"/>
      <c r="F11" s="39"/>
    </row>
    <row r="12" spans="1:6">
      <c r="A12" s="39"/>
      <c r="B12" s="38"/>
      <c r="C12" s="39"/>
      <c r="D12" s="40"/>
      <c r="E12" s="39"/>
      <c r="F12" s="39"/>
    </row>
    <row r="13" spans="1:6">
      <c r="B13"/>
    </row>
    <row r="14" spans="1:6">
      <c r="B14"/>
    </row>
    <row r="15" spans="1:6">
      <c r="B15"/>
    </row>
    <row r="16" spans="1:6">
      <c r="B16"/>
    </row>
    <row r="17" spans="2:2" ht="10.15" customHeight="1">
      <c r="B17"/>
    </row>
    <row r="18" spans="2:2" s="4" customFormat="1" ht="26.45" customHeight="1"/>
    <row r="19" spans="2:2">
      <c r="B19"/>
    </row>
    <row r="20" spans="2:2">
      <c r="B20"/>
    </row>
    <row r="21" spans="2:2">
      <c r="B21"/>
    </row>
    <row r="22" spans="2:2">
      <c r="B22"/>
    </row>
    <row r="23" spans="2:2">
      <c r="B23"/>
    </row>
    <row r="24" spans="2:2">
      <c r="B24"/>
    </row>
  </sheetData>
  <mergeCells count="4">
    <mergeCell ref="E2:F2"/>
    <mergeCell ref="B7:E7"/>
    <mergeCell ref="B8:E8"/>
    <mergeCell ref="B9:E9"/>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sheetPr codeName="Sheet18">
    <pageSetUpPr fitToPage="1"/>
  </sheetPr>
  <dimension ref="A1:F33"/>
  <sheetViews>
    <sheetView zoomScaleNormal="100" workbookViewId="0"/>
  </sheetViews>
  <sheetFormatPr defaultRowHeight="12.75"/>
  <cols>
    <col min="1" max="1" width="4.140625" customWidth="1"/>
    <col min="2" max="2" width="9.5703125" style="1" customWidth="1"/>
    <col min="3" max="4" width="21.5703125" customWidth="1"/>
    <col min="5" max="5" width="33.85546875" customWidth="1"/>
    <col min="6" max="6" width="4.28515625" customWidth="1"/>
  </cols>
  <sheetData>
    <row r="1" spans="1:6">
      <c r="A1" s="11" t="str">
        <f>Title</f>
        <v>RA.027 Candidate Business Rules</v>
      </c>
      <c r="B1" s="12"/>
      <c r="C1" s="13"/>
      <c r="D1" s="13"/>
      <c r="E1" s="13"/>
      <c r="F1" s="14" t="str">
        <f>Document_Ref</f>
        <v>&lt;Document Reference Number&gt;</v>
      </c>
    </row>
    <row r="2" spans="1:6">
      <c r="A2" s="11"/>
      <c r="B2" s="12"/>
      <c r="C2" s="13"/>
      <c r="D2" s="13"/>
      <c r="E2" s="100">
        <f ca="1">NOW()</f>
        <v>41915.733690277775</v>
      </c>
      <c r="F2" s="100"/>
    </row>
    <row r="3" spans="1:6">
      <c r="A3" s="15"/>
      <c r="B3" s="16"/>
      <c r="C3" s="17"/>
      <c r="D3" s="17"/>
      <c r="E3" s="17"/>
      <c r="F3" s="17"/>
    </row>
    <row r="4" spans="1:6">
      <c r="A4" s="15"/>
      <c r="B4" s="16"/>
      <c r="C4" s="17"/>
      <c r="D4" s="17"/>
      <c r="E4" s="17"/>
      <c r="F4" s="17"/>
    </row>
    <row r="5" spans="1:6" ht="23.25">
      <c r="A5" s="15"/>
      <c r="B5" s="18" t="s">
        <v>2</v>
      </c>
      <c r="C5" s="17"/>
      <c r="D5" s="17"/>
      <c r="E5" s="17"/>
      <c r="F5" s="17"/>
    </row>
    <row r="6" spans="1:6">
      <c r="A6" s="15"/>
      <c r="B6" s="16"/>
      <c r="C6" s="17"/>
      <c r="D6" s="17"/>
      <c r="E6" s="17"/>
      <c r="F6" s="17"/>
    </row>
    <row r="7" spans="1:6" ht="18">
      <c r="A7" s="17"/>
      <c r="B7" s="19" t="s">
        <v>1</v>
      </c>
      <c r="C7" s="17"/>
      <c r="D7" s="17"/>
      <c r="E7" s="17"/>
      <c r="F7" s="17"/>
    </row>
    <row r="8" spans="1:6" ht="10.15" customHeight="1">
      <c r="A8" s="17"/>
      <c r="B8" s="19"/>
      <c r="C8" s="17"/>
      <c r="D8" s="17"/>
      <c r="E8" s="17"/>
      <c r="F8" s="17"/>
    </row>
    <row r="9" spans="1:6" s="4" customFormat="1" ht="26.45" customHeight="1">
      <c r="A9" s="20"/>
      <c r="B9" s="21" t="s">
        <v>3</v>
      </c>
      <c r="C9" s="22" t="s">
        <v>4</v>
      </c>
      <c r="D9" s="23" t="s">
        <v>5</v>
      </c>
      <c r="E9" s="24" t="s">
        <v>6</v>
      </c>
      <c r="F9" s="20"/>
    </row>
    <row r="10" spans="1:6">
      <c r="A10" s="17"/>
      <c r="B10" s="8">
        <v>40179</v>
      </c>
      <c r="C10" s="2" t="s">
        <v>15</v>
      </c>
      <c r="D10" s="7">
        <v>0.1</v>
      </c>
      <c r="E10" s="2"/>
      <c r="F10" s="17"/>
    </row>
    <row r="11" spans="1:6">
      <c r="A11" s="17"/>
      <c r="B11" s="8"/>
      <c r="C11" s="2"/>
      <c r="D11" s="7"/>
      <c r="E11" s="2"/>
      <c r="F11" s="17"/>
    </row>
    <row r="12" spans="1:6">
      <c r="A12" s="17"/>
      <c r="B12" s="8"/>
      <c r="C12" s="2"/>
      <c r="D12" s="7"/>
      <c r="E12" s="2"/>
      <c r="F12" s="17"/>
    </row>
    <row r="13" spans="1:6">
      <c r="A13" s="17"/>
      <c r="B13" s="8"/>
      <c r="C13" s="2"/>
      <c r="D13" s="7"/>
      <c r="E13" s="2"/>
      <c r="F13" s="17"/>
    </row>
    <row r="14" spans="1:6">
      <c r="A14" s="17"/>
      <c r="B14" s="25"/>
      <c r="C14" s="17"/>
      <c r="D14" s="26"/>
      <c r="E14" s="17"/>
      <c r="F14" s="17"/>
    </row>
    <row r="15" spans="1:6">
      <c r="A15" s="17"/>
      <c r="B15" s="16"/>
      <c r="C15" s="17"/>
      <c r="D15" s="17"/>
      <c r="E15" s="17"/>
      <c r="F15" s="17"/>
    </row>
    <row r="16" spans="1:6" ht="18" customHeight="1">
      <c r="A16" s="17"/>
      <c r="B16" s="19" t="s">
        <v>7</v>
      </c>
      <c r="C16" s="17"/>
      <c r="D16" s="17"/>
      <c r="E16" s="17"/>
      <c r="F16" s="17"/>
    </row>
    <row r="17" spans="1:6" ht="11.45" customHeight="1">
      <c r="A17" s="17"/>
      <c r="B17" s="19"/>
      <c r="C17" s="17"/>
      <c r="D17" s="17"/>
      <c r="E17" s="17"/>
      <c r="F17" s="17"/>
    </row>
    <row r="18" spans="1:6" s="4" customFormat="1" ht="26.45" customHeight="1">
      <c r="A18" s="20"/>
      <c r="B18" s="35" t="s">
        <v>0</v>
      </c>
      <c r="C18" s="22" t="s">
        <v>8</v>
      </c>
      <c r="D18" s="22" t="s">
        <v>9</v>
      </c>
      <c r="E18" s="24" t="s">
        <v>10</v>
      </c>
      <c r="F18" s="20"/>
    </row>
    <row r="19" spans="1:6">
      <c r="A19" s="17"/>
      <c r="B19" s="10" t="str">
        <f>IF(ISBLANK(C19),"",ROW()-ROW($B$18))</f>
        <v/>
      </c>
      <c r="C19" s="2"/>
      <c r="D19" s="2"/>
      <c r="E19" s="3"/>
      <c r="F19" s="17"/>
    </row>
    <row r="20" spans="1:6">
      <c r="A20" s="17"/>
      <c r="B20" s="10" t="str">
        <f>IF(ISBLANK(C20),"",ROW()-ROW($B$18))</f>
        <v/>
      </c>
      <c r="C20" s="2"/>
      <c r="D20" s="2"/>
      <c r="E20" s="3"/>
      <c r="F20" s="17"/>
    </row>
    <row r="21" spans="1:6">
      <c r="A21" s="17"/>
      <c r="B21" s="10" t="str">
        <f>IF(ISBLANK(C21),"",ROW()-ROW($B$18))</f>
        <v/>
      </c>
      <c r="C21" s="2"/>
      <c r="D21" s="2"/>
      <c r="E21" s="3"/>
      <c r="F21" s="17"/>
    </row>
    <row r="22" spans="1:6">
      <c r="A22" s="17"/>
      <c r="B22" s="10" t="str">
        <f>IF(ISBLANK(C22),"",ROW()-ROW($B$18))</f>
        <v/>
      </c>
      <c r="C22" s="2"/>
      <c r="D22" s="2"/>
      <c r="E22" s="3"/>
      <c r="F22" s="17"/>
    </row>
    <row r="23" spans="1:6">
      <c r="A23" s="15"/>
      <c r="B23" s="16"/>
      <c r="C23" s="17"/>
      <c r="D23" s="17"/>
      <c r="E23" s="17"/>
      <c r="F23" s="17"/>
    </row>
    <row r="24" spans="1:6">
      <c r="A24" s="15"/>
      <c r="B24" s="16"/>
      <c r="C24" s="17"/>
      <c r="D24" s="17"/>
      <c r="E24" s="17"/>
      <c r="F24" s="17"/>
    </row>
    <row r="25" spans="1:6">
      <c r="B25"/>
    </row>
    <row r="26" spans="1:6" ht="10.15" customHeight="1">
      <c r="B26"/>
    </row>
    <row r="27" spans="1:6" s="4" customFormat="1" ht="26.45" customHeight="1"/>
    <row r="28" spans="1:6">
      <c r="B28"/>
    </row>
    <row r="29" spans="1:6">
      <c r="B29"/>
    </row>
    <row r="30" spans="1:6">
      <c r="B30"/>
    </row>
    <row r="31" spans="1:6">
      <c r="B31"/>
    </row>
    <row r="32" spans="1:6">
      <c r="B32"/>
    </row>
    <row r="33" spans="2:2">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5.xml><?xml version="1.0" encoding="utf-8"?>
<worksheet xmlns="http://schemas.openxmlformats.org/spreadsheetml/2006/main" xmlns:r="http://schemas.openxmlformats.org/officeDocument/2006/relationships">
  <dimension ref="A1:U88"/>
  <sheetViews>
    <sheetView workbookViewId="0"/>
  </sheetViews>
  <sheetFormatPr defaultColWidth="11.140625" defaultRowHeight="13.5"/>
  <cols>
    <col min="1" max="1" width="11.140625" style="77" customWidth="1"/>
    <col min="2" max="2" width="11.140625" style="90" customWidth="1"/>
    <col min="3" max="3" width="11.140625" style="91" customWidth="1"/>
    <col min="4" max="4" width="24.7109375" style="53" customWidth="1"/>
    <col min="5" max="5" width="28.28515625" style="77" customWidth="1"/>
    <col min="6" max="6" width="15.42578125" style="36" customWidth="1"/>
    <col min="7" max="8" width="10" style="36" customWidth="1"/>
    <col min="9" max="10" width="11.140625" style="36" customWidth="1"/>
    <col min="11" max="11" width="9.7109375" style="36" customWidth="1"/>
    <col min="12" max="12" width="10.85546875" style="36" customWidth="1"/>
    <col min="13" max="13" width="10.42578125" style="57" customWidth="1"/>
    <col min="14" max="14" width="10.7109375" style="36" customWidth="1"/>
    <col min="15" max="15" width="11.140625" style="36" customWidth="1"/>
    <col min="16" max="16384" width="11.140625" style="36"/>
  </cols>
  <sheetData>
    <row r="1" spans="1:21">
      <c r="A1" s="91" t="s">
        <v>86</v>
      </c>
    </row>
    <row r="2" spans="1:21">
      <c r="A2" s="67" t="s">
        <v>104</v>
      </c>
      <c r="B2" s="68"/>
      <c r="C2" s="67"/>
      <c r="D2" s="97"/>
      <c r="E2" s="92"/>
      <c r="F2" s="55"/>
      <c r="G2" s="55"/>
      <c r="H2" s="55"/>
      <c r="I2" s="55"/>
      <c r="J2" s="55"/>
      <c r="K2" s="55"/>
      <c r="L2" s="55"/>
      <c r="M2" s="56"/>
      <c r="N2" s="55"/>
      <c r="O2" s="55"/>
      <c r="P2" s="55"/>
      <c r="Q2" s="55"/>
      <c r="R2" s="55"/>
      <c r="S2" s="55"/>
      <c r="T2" s="55"/>
      <c r="U2" s="55"/>
    </row>
    <row r="3" spans="1:21">
      <c r="A3" s="69" t="s">
        <v>79</v>
      </c>
      <c r="B3" s="68"/>
      <c r="C3" s="67"/>
      <c r="D3" s="97"/>
      <c r="E3" s="92"/>
      <c r="F3" s="55"/>
      <c r="G3" s="55"/>
      <c r="H3" s="55"/>
      <c r="I3" s="55"/>
      <c r="J3" s="55"/>
      <c r="K3" s="55"/>
      <c r="L3" s="55"/>
      <c r="M3" s="56"/>
      <c r="N3" s="55"/>
      <c r="O3" s="55"/>
      <c r="P3" s="55"/>
      <c r="Q3" s="55"/>
      <c r="R3" s="55"/>
      <c r="S3" s="55"/>
      <c r="T3" s="55"/>
      <c r="U3" s="55"/>
    </row>
    <row r="4" spans="1:21">
      <c r="A4" s="67" t="s">
        <v>40</v>
      </c>
      <c r="B4" s="68"/>
      <c r="C4" s="67"/>
      <c r="D4" s="97"/>
      <c r="E4" s="92"/>
      <c r="F4" s="55"/>
      <c r="G4" s="55"/>
      <c r="H4" s="55"/>
      <c r="I4" s="55"/>
      <c r="J4" s="55"/>
      <c r="K4" s="55"/>
      <c r="L4" s="55"/>
      <c r="M4" s="56"/>
      <c r="N4" s="55"/>
      <c r="O4" s="55"/>
      <c r="P4" s="55"/>
      <c r="Q4" s="55"/>
      <c r="R4" s="55"/>
      <c r="S4" s="55"/>
      <c r="T4" s="55"/>
      <c r="U4" s="55"/>
    </row>
    <row r="5" spans="1:21" ht="20.25" customHeight="1">
      <c r="A5" s="67" t="s">
        <v>41</v>
      </c>
      <c r="B5" s="68"/>
      <c r="C5" s="67"/>
      <c r="D5" s="97"/>
      <c r="E5" s="92"/>
      <c r="F5" s="55"/>
      <c r="G5" s="55"/>
      <c r="H5" s="55"/>
      <c r="I5" s="55"/>
      <c r="J5" s="55"/>
      <c r="K5" s="55"/>
      <c r="L5" s="55"/>
      <c r="M5" s="56"/>
      <c r="N5" s="55"/>
      <c r="O5" s="55"/>
      <c r="P5" s="55"/>
      <c r="Q5" s="55"/>
      <c r="R5" s="55"/>
      <c r="S5" s="55"/>
      <c r="T5" s="55"/>
      <c r="U5" s="55"/>
    </row>
    <row r="6" spans="1:21" ht="20.25" customHeight="1" thickBot="1">
      <c r="A6" s="67" t="s">
        <v>105</v>
      </c>
      <c r="B6" s="68"/>
      <c r="C6" s="67"/>
      <c r="D6" s="97"/>
      <c r="E6" s="92"/>
      <c r="F6" s="55"/>
      <c r="G6" s="55"/>
      <c r="H6" s="55"/>
      <c r="I6" s="55"/>
      <c r="J6" s="55"/>
      <c r="K6" s="55"/>
      <c r="L6" s="55"/>
      <c r="M6" s="56"/>
      <c r="N6" s="55"/>
      <c r="O6" s="55"/>
      <c r="P6" s="55"/>
      <c r="Q6" s="55"/>
      <c r="R6" s="55"/>
      <c r="S6" s="55"/>
      <c r="T6" s="55"/>
      <c r="U6" s="55"/>
    </row>
    <row r="7" spans="1:21" ht="7.5" customHeight="1" thickBot="1">
      <c r="A7" s="78"/>
      <c r="B7" s="79"/>
      <c r="C7" s="93"/>
      <c r="D7" s="85"/>
      <c r="E7" s="93"/>
      <c r="F7" s="80"/>
      <c r="G7" s="80"/>
      <c r="H7" s="80"/>
      <c r="I7" s="80"/>
      <c r="J7" s="80"/>
      <c r="K7" s="81"/>
      <c r="L7" s="81"/>
      <c r="M7" s="81"/>
      <c r="N7" s="82"/>
      <c r="O7" s="82"/>
      <c r="P7" s="82"/>
      <c r="Q7" s="82"/>
      <c r="R7" s="82"/>
      <c r="S7" s="82"/>
      <c r="T7" s="82"/>
      <c r="U7" s="83"/>
    </row>
    <row r="8" spans="1:21" ht="32.25" customHeight="1" thickBot="1">
      <c r="A8" s="88" t="s">
        <v>27</v>
      </c>
      <c r="B8" s="70" t="s">
        <v>42</v>
      </c>
      <c r="C8" s="94" t="s">
        <v>8</v>
      </c>
      <c r="D8" s="87" t="s">
        <v>80</v>
      </c>
      <c r="E8" s="94" t="s">
        <v>81</v>
      </c>
      <c r="F8" s="87" t="s">
        <v>85</v>
      </c>
      <c r="G8" s="87" t="s">
        <v>82</v>
      </c>
      <c r="H8" s="87" t="s">
        <v>87</v>
      </c>
      <c r="I8" s="87" t="s">
        <v>29</v>
      </c>
      <c r="J8" s="87" t="s">
        <v>28</v>
      </c>
      <c r="K8" s="89" t="s">
        <v>30</v>
      </c>
      <c r="L8" s="89" t="s">
        <v>31</v>
      </c>
      <c r="M8" s="89" t="s">
        <v>32</v>
      </c>
      <c r="N8" s="89" t="s">
        <v>33</v>
      </c>
      <c r="O8" s="89" t="s">
        <v>34</v>
      </c>
      <c r="P8" s="89" t="s">
        <v>35</v>
      </c>
      <c r="Q8" s="89" t="s">
        <v>36</v>
      </c>
      <c r="R8" s="89" t="s">
        <v>37</v>
      </c>
      <c r="S8" s="84" t="s">
        <v>39</v>
      </c>
      <c r="T8" s="84" t="s">
        <v>39</v>
      </c>
      <c r="U8" s="84" t="s">
        <v>39</v>
      </c>
    </row>
    <row r="9" spans="1:21" ht="123" customHeight="1">
      <c r="A9" s="45"/>
      <c r="B9" s="64" t="s">
        <v>43</v>
      </c>
      <c r="C9" s="91" t="s">
        <v>94</v>
      </c>
      <c r="D9" s="37" t="s">
        <v>93</v>
      </c>
      <c r="E9" s="63" t="s">
        <v>90</v>
      </c>
      <c r="F9" s="66" t="s">
        <v>100</v>
      </c>
      <c r="G9" s="66" t="s">
        <v>83</v>
      </c>
      <c r="H9" s="66"/>
      <c r="I9" s="37"/>
      <c r="J9" s="37"/>
      <c r="K9" s="62"/>
      <c r="L9" s="49" t="s">
        <v>38</v>
      </c>
      <c r="M9" s="58"/>
      <c r="N9" s="59"/>
      <c r="O9" s="60"/>
      <c r="P9" s="60" t="s">
        <v>38</v>
      </c>
      <c r="Q9" s="60"/>
      <c r="R9" s="60"/>
      <c r="S9" s="60" t="s">
        <v>38</v>
      </c>
      <c r="T9" s="60"/>
      <c r="U9" s="49"/>
    </row>
    <row r="10" spans="1:21" ht="63" customHeight="1">
      <c r="A10" s="45"/>
      <c r="B10" s="64" t="s">
        <v>44</v>
      </c>
      <c r="C10" s="65" t="s">
        <v>95</v>
      </c>
      <c r="D10" s="65" t="s">
        <v>96</v>
      </c>
      <c r="E10" s="63" t="s">
        <v>88</v>
      </c>
      <c r="G10" s="66" t="s">
        <v>84</v>
      </c>
      <c r="H10" s="66"/>
      <c r="I10" s="37"/>
      <c r="J10" s="37"/>
      <c r="K10" s="62"/>
      <c r="L10" s="49"/>
      <c r="M10" s="58"/>
      <c r="N10" s="49"/>
      <c r="O10" s="61"/>
      <c r="P10" s="61"/>
      <c r="Q10" s="61"/>
      <c r="R10" s="61"/>
      <c r="S10" s="61"/>
      <c r="T10" s="61"/>
      <c r="U10" s="49"/>
    </row>
    <row r="11" spans="1:21" ht="81.75" customHeight="1">
      <c r="A11" s="45"/>
      <c r="B11" s="64" t="s">
        <v>45</v>
      </c>
      <c r="C11" s="65" t="s">
        <v>97</v>
      </c>
      <c r="D11" s="66" t="s">
        <v>92</v>
      </c>
      <c r="E11" s="63" t="s">
        <v>89</v>
      </c>
      <c r="F11" s="37"/>
      <c r="G11" s="37"/>
      <c r="H11" s="37"/>
      <c r="I11" s="37"/>
      <c r="J11" s="37"/>
      <c r="K11" s="62"/>
      <c r="L11" s="49"/>
      <c r="M11" s="58"/>
      <c r="N11" s="49"/>
      <c r="O11" s="61"/>
      <c r="P11" s="61"/>
      <c r="Q11" s="61"/>
      <c r="R11" s="61"/>
      <c r="S11" s="61"/>
      <c r="T11" s="61"/>
      <c r="U11" s="49"/>
    </row>
    <row r="12" spans="1:21" ht="73.5" customHeight="1">
      <c r="A12" s="45"/>
      <c r="B12" s="64" t="s">
        <v>46</v>
      </c>
      <c r="C12" s="65" t="s">
        <v>98</v>
      </c>
      <c r="D12" s="66" t="s">
        <v>99</v>
      </c>
      <c r="E12" s="63" t="s">
        <v>91</v>
      </c>
      <c r="F12" s="37"/>
      <c r="G12" s="37"/>
      <c r="H12" s="37"/>
      <c r="I12" s="37"/>
      <c r="J12" s="37"/>
      <c r="K12" s="62"/>
      <c r="L12" s="49"/>
      <c r="M12" s="58"/>
      <c r="N12" s="49"/>
      <c r="O12" s="61"/>
      <c r="P12" s="61"/>
      <c r="Q12" s="61"/>
      <c r="R12" s="61"/>
      <c r="S12" s="61"/>
      <c r="T12" s="61"/>
      <c r="U12" s="49"/>
    </row>
    <row r="13" spans="1:21" ht="68.25" customHeight="1">
      <c r="A13" s="46"/>
      <c r="B13" s="64" t="s">
        <v>47</v>
      </c>
      <c r="C13" s="63"/>
      <c r="D13" s="54"/>
      <c r="E13" s="45"/>
      <c r="F13" s="49"/>
      <c r="G13" s="49"/>
      <c r="H13" s="49"/>
      <c r="I13" s="49"/>
      <c r="J13" s="49"/>
      <c r="K13" s="62"/>
      <c r="L13" s="49"/>
      <c r="M13" s="58"/>
      <c r="N13" s="71"/>
      <c r="O13" s="71"/>
      <c r="P13" s="71"/>
      <c r="Q13" s="71"/>
      <c r="R13" s="71"/>
      <c r="S13" s="71"/>
      <c r="T13" s="71"/>
      <c r="U13" s="49"/>
    </row>
    <row r="14" spans="1:21" ht="77.25" customHeight="1">
      <c r="A14" s="46"/>
      <c r="B14" s="64" t="s">
        <v>48</v>
      </c>
      <c r="C14" s="63"/>
      <c r="D14" s="54"/>
      <c r="E14" s="45"/>
      <c r="F14" s="49"/>
      <c r="G14" s="49"/>
      <c r="H14" s="49"/>
      <c r="I14" s="49"/>
      <c r="J14" s="49"/>
      <c r="K14" s="71"/>
      <c r="L14" s="49"/>
      <c r="M14" s="62"/>
      <c r="N14" s="62"/>
      <c r="O14" s="62"/>
      <c r="P14" s="62"/>
      <c r="Q14" s="62"/>
      <c r="R14" s="62"/>
      <c r="S14" s="71"/>
      <c r="T14" s="71"/>
      <c r="U14" s="49"/>
    </row>
    <row r="15" spans="1:21" ht="70.5" customHeight="1">
      <c r="A15" s="46"/>
      <c r="B15" s="64" t="s">
        <v>49</v>
      </c>
      <c r="C15" s="63"/>
      <c r="D15" s="54"/>
      <c r="E15" s="45"/>
      <c r="F15" s="49"/>
      <c r="G15" s="49"/>
      <c r="H15" s="49"/>
      <c r="I15" s="49"/>
      <c r="J15" s="49"/>
      <c r="K15" s="62"/>
      <c r="L15" s="49"/>
      <c r="M15" s="58"/>
      <c r="N15" s="71"/>
      <c r="O15" s="71"/>
      <c r="P15" s="71"/>
      <c r="Q15" s="71"/>
      <c r="R15" s="71"/>
      <c r="S15" s="71"/>
      <c r="T15" s="71"/>
      <c r="U15" s="49"/>
    </row>
    <row r="16" spans="1:21" ht="52.5" customHeight="1">
      <c r="A16" s="46"/>
      <c r="B16" s="64" t="s">
        <v>50</v>
      </c>
      <c r="C16" s="63"/>
      <c r="D16" s="54"/>
      <c r="E16" s="45"/>
      <c r="F16" s="49"/>
      <c r="G16" s="49"/>
      <c r="H16" s="49"/>
      <c r="I16" s="49"/>
      <c r="J16" s="49"/>
      <c r="K16" s="71"/>
      <c r="L16" s="49"/>
      <c r="M16" s="58"/>
      <c r="N16" s="71"/>
      <c r="O16" s="71"/>
      <c r="P16" s="71"/>
      <c r="Q16" s="71"/>
      <c r="R16" s="71"/>
      <c r="S16" s="71"/>
      <c r="T16" s="71"/>
      <c r="U16" s="49"/>
    </row>
    <row r="17" spans="1:21" ht="51" customHeight="1">
      <c r="A17" s="46"/>
      <c r="B17" s="64" t="s">
        <v>51</v>
      </c>
      <c r="C17" s="63"/>
      <c r="D17" s="54"/>
      <c r="E17" s="45"/>
      <c r="F17" s="49"/>
      <c r="G17" s="49"/>
      <c r="H17" s="49"/>
      <c r="I17" s="49"/>
      <c r="J17" s="49"/>
      <c r="K17" s="71"/>
      <c r="L17" s="49"/>
      <c r="M17" s="58"/>
      <c r="N17" s="71"/>
      <c r="O17" s="71"/>
      <c r="P17" s="71"/>
      <c r="Q17" s="71"/>
      <c r="R17" s="71"/>
      <c r="S17" s="71"/>
      <c r="T17" s="71"/>
      <c r="U17" s="49"/>
    </row>
    <row r="18" spans="1:21" s="52" customFormat="1" ht="79.5" customHeight="1">
      <c r="A18" s="48"/>
      <c r="B18" s="64" t="s">
        <v>52</v>
      </c>
      <c r="C18" s="98"/>
      <c r="D18" s="76"/>
      <c r="E18" s="51"/>
      <c r="F18" s="50"/>
      <c r="G18" s="50"/>
      <c r="H18" s="50"/>
      <c r="I18" s="50"/>
      <c r="J18" s="50"/>
      <c r="K18" s="72"/>
      <c r="L18" s="50"/>
      <c r="M18" s="73"/>
      <c r="N18" s="74"/>
      <c r="O18" s="61"/>
      <c r="P18" s="61"/>
      <c r="Q18" s="61"/>
      <c r="R18" s="61"/>
      <c r="S18" s="61"/>
      <c r="T18" s="61"/>
      <c r="U18" s="50"/>
    </row>
    <row r="19" spans="1:21" ht="43.5" customHeight="1">
      <c r="A19" s="46"/>
      <c r="B19" s="64" t="s">
        <v>53</v>
      </c>
      <c r="C19" s="86"/>
      <c r="D19" s="47"/>
      <c r="E19" s="95"/>
      <c r="F19" s="47"/>
      <c r="G19" s="47"/>
      <c r="H19" s="47"/>
      <c r="I19" s="47"/>
      <c r="J19" s="47"/>
      <c r="K19" s="71"/>
      <c r="L19" s="49"/>
      <c r="M19" s="58"/>
      <c r="N19" s="71"/>
      <c r="O19" s="71"/>
      <c r="P19" s="71"/>
      <c r="Q19" s="71"/>
      <c r="R19" s="71"/>
      <c r="S19" s="71"/>
      <c r="T19" s="71"/>
      <c r="U19" s="49"/>
    </row>
    <row r="20" spans="1:21" ht="23.25" customHeight="1">
      <c r="A20" s="46"/>
      <c r="B20" s="64" t="s">
        <v>54</v>
      </c>
      <c r="C20" s="99"/>
      <c r="D20" s="75"/>
      <c r="E20" s="96"/>
      <c r="F20" s="75"/>
      <c r="G20" s="75"/>
      <c r="H20" s="75"/>
      <c r="I20" s="75"/>
      <c r="J20" s="75"/>
      <c r="K20" s="71"/>
      <c r="L20" s="49"/>
      <c r="M20" s="58"/>
      <c r="N20" s="71"/>
      <c r="O20" s="62"/>
      <c r="P20" s="71"/>
      <c r="Q20" s="71"/>
      <c r="R20" s="71"/>
      <c r="S20" s="71"/>
      <c r="T20" s="71"/>
      <c r="U20" s="49"/>
    </row>
    <row r="21" spans="1:21" ht="30.75" customHeight="1">
      <c r="A21" s="46"/>
      <c r="B21" s="64" t="s">
        <v>55</v>
      </c>
      <c r="C21" s="63"/>
      <c r="D21" s="54"/>
      <c r="E21" s="45"/>
      <c r="F21" s="49"/>
      <c r="G21" s="49"/>
      <c r="H21" s="49"/>
      <c r="I21" s="49"/>
      <c r="J21" s="49"/>
      <c r="K21" s="50"/>
      <c r="L21" s="49"/>
      <c r="M21" s="58"/>
      <c r="N21" s="49"/>
      <c r="O21" s="50"/>
      <c r="P21" s="71"/>
      <c r="Q21" s="50"/>
      <c r="R21" s="50"/>
      <c r="S21" s="50"/>
      <c r="T21" s="50"/>
      <c r="U21" s="49"/>
    </row>
    <row r="22" spans="1:21" ht="29.25" customHeight="1">
      <c r="A22" s="46"/>
      <c r="B22" s="64" t="s">
        <v>56</v>
      </c>
      <c r="C22" s="65"/>
      <c r="D22" s="37"/>
      <c r="E22" s="46"/>
      <c r="F22" s="37"/>
      <c r="G22" s="37"/>
      <c r="H22" s="37"/>
      <c r="I22" s="37"/>
      <c r="J22" s="37"/>
      <c r="K22" s="50"/>
      <c r="L22" s="49"/>
      <c r="M22" s="58"/>
      <c r="N22" s="62"/>
      <c r="O22" s="50"/>
      <c r="P22" s="71"/>
      <c r="Q22" s="50"/>
      <c r="R22" s="50"/>
      <c r="S22" s="50"/>
      <c r="T22" s="50"/>
      <c r="U22" s="49"/>
    </row>
    <row r="23" spans="1:21" ht="33.75" customHeight="1">
      <c r="A23" s="45"/>
      <c r="B23" s="64" t="s">
        <v>57</v>
      </c>
      <c r="C23" s="63"/>
      <c r="D23" s="54"/>
      <c r="E23" s="45"/>
      <c r="F23" s="49"/>
      <c r="G23" s="49"/>
      <c r="H23" s="49"/>
      <c r="I23" s="49"/>
      <c r="J23" s="49"/>
      <c r="K23" s="50"/>
      <c r="L23" s="49"/>
      <c r="M23" s="58"/>
      <c r="N23" s="62"/>
      <c r="O23" s="50"/>
      <c r="P23" s="50"/>
      <c r="Q23" s="50"/>
      <c r="R23" s="50"/>
      <c r="S23" s="50"/>
      <c r="T23" s="50"/>
      <c r="U23" s="49"/>
    </row>
    <row r="24" spans="1:21" ht="48.75" customHeight="1">
      <c r="A24" s="45"/>
      <c r="B24" s="64" t="s">
        <v>58</v>
      </c>
      <c r="C24" s="63"/>
      <c r="D24" s="54"/>
      <c r="E24" s="45"/>
      <c r="F24" s="49"/>
      <c r="G24" s="49"/>
      <c r="H24" s="49"/>
      <c r="I24" s="49"/>
      <c r="J24" s="49"/>
      <c r="K24" s="50"/>
      <c r="L24" s="49"/>
      <c r="M24" s="58"/>
      <c r="N24" s="62"/>
      <c r="O24" s="50"/>
      <c r="P24" s="50"/>
      <c r="Q24" s="50"/>
      <c r="R24" s="50"/>
      <c r="S24" s="50"/>
      <c r="T24" s="50"/>
      <c r="U24" s="49"/>
    </row>
    <row r="25" spans="1:21" ht="62.25" customHeight="1">
      <c r="A25" s="45"/>
      <c r="B25" s="64" t="s">
        <v>59</v>
      </c>
      <c r="C25" s="63"/>
      <c r="D25" s="54"/>
      <c r="E25" s="45"/>
      <c r="F25" s="49"/>
      <c r="G25" s="49"/>
      <c r="H25" s="49"/>
      <c r="I25" s="49"/>
      <c r="J25" s="49"/>
      <c r="K25" s="50"/>
      <c r="L25" s="49"/>
      <c r="M25" s="58"/>
      <c r="N25" s="62"/>
      <c r="O25" s="50"/>
      <c r="P25" s="50"/>
      <c r="Q25" s="50"/>
      <c r="R25" s="50"/>
      <c r="S25" s="50"/>
      <c r="T25" s="50"/>
      <c r="U25" s="49"/>
    </row>
    <row r="26" spans="1:21" ht="57.75" customHeight="1">
      <c r="A26" s="45"/>
      <c r="B26" s="64" t="s">
        <v>60</v>
      </c>
      <c r="C26" s="63"/>
      <c r="D26" s="54"/>
      <c r="E26" s="45"/>
      <c r="F26" s="49"/>
      <c r="G26" s="49"/>
      <c r="H26" s="49"/>
      <c r="I26" s="49"/>
      <c r="J26" s="49"/>
      <c r="K26" s="50"/>
      <c r="L26" s="49"/>
      <c r="M26" s="58"/>
      <c r="N26" s="50"/>
      <c r="O26" s="50"/>
      <c r="P26" s="50"/>
      <c r="Q26" s="50"/>
      <c r="R26" s="62"/>
      <c r="S26" s="50"/>
      <c r="T26" s="50"/>
      <c r="U26" s="49"/>
    </row>
    <row r="27" spans="1:21" ht="57" customHeight="1">
      <c r="A27" s="45"/>
      <c r="B27" s="64" t="s">
        <v>61</v>
      </c>
      <c r="C27" s="63"/>
      <c r="D27" s="54"/>
      <c r="E27" s="45"/>
      <c r="F27" s="49"/>
      <c r="G27" s="49"/>
      <c r="H27" s="49"/>
      <c r="I27" s="49"/>
      <c r="J27" s="49"/>
      <c r="K27" s="50"/>
      <c r="L27" s="49"/>
      <c r="M27" s="58"/>
      <c r="N27" s="50"/>
      <c r="O27" s="50"/>
      <c r="P27" s="50"/>
      <c r="Q27" s="50"/>
      <c r="R27" s="50"/>
      <c r="S27" s="50"/>
      <c r="T27" s="50"/>
      <c r="U27" s="49"/>
    </row>
    <row r="28" spans="1:21">
      <c r="A28" s="45"/>
      <c r="B28" s="64" t="s">
        <v>62</v>
      </c>
      <c r="C28" s="63"/>
      <c r="D28" s="54"/>
      <c r="E28" s="45"/>
      <c r="F28" s="49"/>
      <c r="G28" s="49"/>
      <c r="H28" s="49"/>
      <c r="I28" s="49"/>
      <c r="J28" s="49"/>
      <c r="K28" s="50"/>
      <c r="L28" s="49"/>
      <c r="M28" s="58"/>
      <c r="N28" s="76"/>
      <c r="O28" s="50"/>
      <c r="P28" s="50"/>
      <c r="Q28" s="50"/>
      <c r="R28" s="50"/>
      <c r="S28" s="50"/>
      <c r="T28" s="50"/>
      <c r="U28" s="49"/>
    </row>
    <row r="29" spans="1:21" ht="63" customHeight="1">
      <c r="A29" s="45"/>
      <c r="B29" s="64" t="s">
        <v>63</v>
      </c>
      <c r="C29" s="63"/>
      <c r="D29" s="54"/>
      <c r="E29" s="45"/>
      <c r="F29" s="49"/>
      <c r="G29" s="49"/>
      <c r="H29" s="49"/>
      <c r="I29" s="49"/>
      <c r="J29" s="49"/>
      <c r="K29" s="71"/>
      <c r="L29" s="49"/>
      <c r="M29" s="58"/>
      <c r="N29" s="49"/>
      <c r="O29" s="50"/>
      <c r="P29" s="50"/>
      <c r="Q29" s="50"/>
      <c r="R29" s="50"/>
      <c r="S29" s="50"/>
      <c r="T29" s="50"/>
      <c r="U29" s="49"/>
    </row>
    <row r="30" spans="1:21" ht="50.25" customHeight="1">
      <c r="A30" s="45"/>
      <c r="B30" s="64" t="s">
        <v>64</v>
      </c>
      <c r="C30" s="63"/>
      <c r="D30" s="54"/>
      <c r="E30" s="45"/>
      <c r="F30" s="49"/>
      <c r="G30" s="49"/>
      <c r="H30" s="49"/>
      <c r="I30" s="49"/>
      <c r="J30" s="49"/>
      <c r="K30" s="62"/>
      <c r="L30" s="49"/>
      <c r="M30" s="58"/>
      <c r="N30" s="49"/>
      <c r="O30" s="50"/>
      <c r="P30" s="50"/>
      <c r="Q30" s="50"/>
      <c r="R30" s="50"/>
      <c r="S30" s="50"/>
      <c r="T30" s="50"/>
      <c r="U30" s="49"/>
    </row>
    <row r="31" spans="1:21" ht="25.5" customHeight="1">
      <c r="A31" s="45"/>
      <c r="B31" s="64" t="s">
        <v>65</v>
      </c>
      <c r="C31" s="63"/>
      <c r="D31" s="54"/>
      <c r="E31" s="45"/>
      <c r="F31" s="49"/>
      <c r="G31" s="49"/>
      <c r="H31" s="49"/>
      <c r="I31" s="49"/>
      <c r="J31" s="49"/>
      <c r="K31" s="62"/>
      <c r="L31" s="49"/>
      <c r="M31" s="58"/>
      <c r="N31" s="49"/>
      <c r="O31" s="50"/>
      <c r="P31" s="50"/>
      <c r="Q31" s="50"/>
      <c r="R31" s="50"/>
      <c r="S31" s="50"/>
      <c r="T31" s="50"/>
      <c r="U31" s="49"/>
    </row>
    <row r="32" spans="1:21" ht="15">
      <c r="A32" s="45"/>
      <c r="B32" s="64" t="s">
        <v>66</v>
      </c>
      <c r="C32" s="63"/>
      <c r="D32" s="54"/>
      <c r="E32" s="45"/>
      <c r="F32" s="49"/>
      <c r="G32" s="49"/>
      <c r="H32" s="49"/>
      <c r="I32" s="49"/>
      <c r="J32" s="49"/>
      <c r="K32" s="50"/>
      <c r="L32" s="49"/>
      <c r="M32" s="58"/>
      <c r="N32" s="49"/>
      <c r="O32" s="50"/>
      <c r="P32" s="62"/>
      <c r="R32" s="62"/>
      <c r="S32" s="62"/>
      <c r="T32" s="50"/>
      <c r="U32" s="49"/>
    </row>
    <row r="33" spans="1:21" ht="41.25" customHeight="1">
      <c r="A33" s="45"/>
      <c r="B33" s="64" t="s">
        <v>67</v>
      </c>
      <c r="C33" s="63"/>
      <c r="D33" s="54"/>
      <c r="E33" s="45"/>
      <c r="F33" s="49"/>
      <c r="G33" s="49"/>
      <c r="H33" s="49"/>
      <c r="I33" s="49"/>
      <c r="J33" s="49"/>
      <c r="K33" s="62"/>
      <c r="L33" s="49"/>
      <c r="M33" s="58"/>
      <c r="N33" s="49"/>
      <c r="O33" s="50"/>
      <c r="P33" s="62"/>
      <c r="Q33" s="62"/>
      <c r="S33" s="62"/>
      <c r="T33" s="50"/>
      <c r="U33" s="49"/>
    </row>
    <row r="34" spans="1:21" ht="27.75" customHeight="1">
      <c r="A34" s="45"/>
      <c r="B34" s="64" t="s">
        <v>68</v>
      </c>
      <c r="C34" s="63"/>
      <c r="D34" s="54"/>
      <c r="E34" s="45"/>
      <c r="F34" s="49"/>
      <c r="G34" s="49"/>
      <c r="H34" s="49"/>
      <c r="I34" s="49"/>
      <c r="J34" s="49"/>
      <c r="K34" s="50"/>
      <c r="L34" s="49"/>
      <c r="M34" s="58"/>
      <c r="N34" s="49"/>
      <c r="O34" s="50"/>
      <c r="P34" s="62"/>
      <c r="Q34" s="62"/>
      <c r="R34" s="62"/>
      <c r="T34" s="50"/>
      <c r="U34" s="49"/>
    </row>
    <row r="35" spans="1:21" ht="15">
      <c r="A35" s="45"/>
      <c r="B35" s="64" t="s">
        <v>69</v>
      </c>
      <c r="C35" s="63"/>
      <c r="D35" s="54"/>
      <c r="E35" s="45"/>
      <c r="F35" s="49"/>
      <c r="G35" s="49"/>
      <c r="H35" s="49"/>
      <c r="I35" s="49"/>
      <c r="J35" s="49"/>
      <c r="K35" s="50"/>
      <c r="L35" s="49"/>
      <c r="M35" s="58"/>
      <c r="N35" s="49"/>
      <c r="O35" s="50"/>
      <c r="P35" s="62"/>
      <c r="Q35" s="62"/>
      <c r="R35" s="62"/>
      <c r="S35" s="62"/>
      <c r="T35" s="50"/>
      <c r="U35" s="49"/>
    </row>
    <row r="36" spans="1:21" ht="15">
      <c r="A36" s="45"/>
      <c r="B36" s="64" t="s">
        <v>70</v>
      </c>
      <c r="C36" s="63"/>
      <c r="D36" s="54"/>
      <c r="E36" s="45"/>
      <c r="F36" s="49"/>
      <c r="G36" s="49"/>
      <c r="H36" s="49"/>
      <c r="I36" s="49"/>
      <c r="J36" s="49"/>
      <c r="K36" s="50"/>
      <c r="L36" s="49"/>
      <c r="M36" s="58"/>
      <c r="N36" s="49"/>
      <c r="O36" s="50"/>
      <c r="P36" s="62"/>
      <c r="Q36" s="62"/>
      <c r="R36" s="62"/>
      <c r="S36" s="62"/>
      <c r="T36" s="50"/>
      <c r="U36" s="49"/>
    </row>
    <row r="37" spans="1:21" ht="45.75" customHeight="1">
      <c r="A37" s="45"/>
      <c r="B37" s="64" t="s">
        <v>71</v>
      </c>
      <c r="C37" s="63"/>
      <c r="D37" s="54"/>
      <c r="E37" s="45"/>
      <c r="F37" s="49"/>
      <c r="G37" s="49"/>
      <c r="H37" s="49"/>
      <c r="I37" s="49"/>
      <c r="J37" s="49"/>
      <c r="K37" s="50"/>
      <c r="L37" s="49"/>
      <c r="M37" s="58"/>
      <c r="N37" s="49"/>
      <c r="O37" s="50"/>
      <c r="P37" s="62"/>
      <c r="Q37" s="62"/>
      <c r="R37" s="62"/>
      <c r="S37" s="62"/>
      <c r="T37" s="49"/>
      <c r="U37" s="49"/>
    </row>
    <row r="38" spans="1:21" ht="30" customHeight="1">
      <c r="A38" s="45"/>
      <c r="B38" s="64" t="s">
        <v>72</v>
      </c>
      <c r="C38" s="63"/>
      <c r="D38" s="54"/>
      <c r="E38" s="45"/>
      <c r="F38" s="49"/>
      <c r="G38" s="49"/>
      <c r="H38" s="49"/>
      <c r="I38" s="49"/>
      <c r="J38" s="49"/>
      <c r="K38" s="50"/>
      <c r="L38" s="49"/>
      <c r="M38" s="58"/>
      <c r="N38" s="49"/>
      <c r="O38" s="50"/>
      <c r="P38" s="62"/>
      <c r="Q38" s="62"/>
      <c r="R38" s="62"/>
      <c r="S38" s="49"/>
      <c r="T38" s="49"/>
      <c r="U38" s="49"/>
    </row>
    <row r="39" spans="1:21" ht="15">
      <c r="A39" s="45"/>
      <c r="B39" s="64" t="s">
        <v>73</v>
      </c>
      <c r="C39" s="63"/>
      <c r="D39" s="54"/>
      <c r="E39" s="45"/>
      <c r="F39" s="49"/>
      <c r="G39" s="49"/>
      <c r="H39" s="49"/>
      <c r="I39" s="49"/>
      <c r="J39" s="49"/>
      <c r="K39" s="62"/>
      <c r="L39" s="49"/>
      <c r="M39" s="58"/>
      <c r="N39" s="49"/>
      <c r="O39" s="50"/>
      <c r="P39" s="62"/>
      <c r="Q39" s="62"/>
      <c r="R39" s="62"/>
      <c r="S39" s="62"/>
      <c r="T39" s="50"/>
      <c r="U39" s="49"/>
    </row>
    <row r="40" spans="1:21" ht="15">
      <c r="A40" s="45"/>
      <c r="B40" s="64" t="s">
        <v>74</v>
      </c>
      <c r="K40" s="50"/>
      <c r="L40" s="49"/>
      <c r="M40" s="58"/>
      <c r="N40" s="62"/>
      <c r="O40" s="49"/>
      <c r="P40" s="62"/>
      <c r="Q40" s="62"/>
      <c r="R40" s="62"/>
      <c r="S40" s="62"/>
      <c r="T40" s="62"/>
      <c r="U40" s="49"/>
    </row>
    <row r="41" spans="1:21" ht="15">
      <c r="A41" s="45"/>
      <c r="B41" s="64" t="s">
        <v>75</v>
      </c>
      <c r="K41" s="50"/>
      <c r="L41" s="49"/>
      <c r="M41" s="58"/>
      <c r="N41" s="62"/>
      <c r="P41" s="62"/>
      <c r="Q41" s="62"/>
      <c r="R41" s="62"/>
      <c r="S41" s="62"/>
      <c r="T41" s="62"/>
      <c r="U41" s="49"/>
    </row>
    <row r="42" spans="1:21" ht="15">
      <c r="A42" s="45"/>
      <c r="B42" s="64" t="s">
        <v>76</v>
      </c>
      <c r="K42" s="49"/>
      <c r="L42" s="62"/>
      <c r="M42" s="58"/>
      <c r="N42" s="49"/>
      <c r="O42" s="49"/>
      <c r="P42" s="49"/>
      <c r="Q42" s="49"/>
      <c r="R42" s="49"/>
      <c r="S42" s="49"/>
      <c r="T42" s="49"/>
      <c r="U42" s="49"/>
    </row>
    <row r="43" spans="1:21" ht="45.75" customHeight="1">
      <c r="A43" s="45"/>
      <c r="B43" s="64" t="s">
        <v>77</v>
      </c>
      <c r="C43" s="63"/>
      <c r="D43" s="54"/>
      <c r="E43" s="45"/>
      <c r="F43" s="49"/>
      <c r="G43" s="49"/>
      <c r="H43" s="49"/>
      <c r="I43" s="49"/>
      <c r="J43" s="49"/>
      <c r="K43" s="50"/>
      <c r="L43" s="49"/>
      <c r="N43" s="62"/>
      <c r="O43" s="50"/>
      <c r="P43" s="50"/>
      <c r="Q43" s="50"/>
      <c r="R43" s="50"/>
      <c r="S43" s="50"/>
      <c r="T43" s="50"/>
      <c r="U43" s="49"/>
    </row>
    <row r="44" spans="1:21">
      <c r="A44" s="45"/>
      <c r="B44" s="64" t="s">
        <v>78</v>
      </c>
      <c r="K44" s="49"/>
      <c r="L44" s="49"/>
      <c r="M44" s="58"/>
      <c r="N44" s="49"/>
      <c r="O44" s="49"/>
      <c r="P44" s="49"/>
      <c r="Q44" s="49"/>
      <c r="R44" s="49"/>
      <c r="S44" s="49"/>
      <c r="T44" s="49"/>
      <c r="U44" s="49"/>
    </row>
    <row r="45" spans="1:21">
      <c r="B45" s="13"/>
    </row>
    <row r="46" spans="1:21">
      <c r="B46" s="13"/>
    </row>
    <row r="47" spans="1:21">
      <c r="B47" s="13"/>
    </row>
    <row r="48" spans="1:21">
      <c r="B48" s="13"/>
    </row>
    <row r="49" spans="2:2">
      <c r="B49" s="13"/>
    </row>
    <row r="50" spans="2:2">
      <c r="B50" s="13"/>
    </row>
    <row r="51" spans="2:2">
      <c r="B51" s="13"/>
    </row>
    <row r="52" spans="2:2">
      <c r="B52" s="13"/>
    </row>
    <row r="53" spans="2:2">
      <c r="B53" s="13"/>
    </row>
    <row r="54" spans="2:2">
      <c r="B54" s="13"/>
    </row>
    <row r="55" spans="2:2">
      <c r="B55" s="13"/>
    </row>
    <row r="56" spans="2:2">
      <c r="B56" s="13"/>
    </row>
    <row r="57" spans="2:2">
      <c r="B57" s="13"/>
    </row>
    <row r="58" spans="2:2">
      <c r="B58" s="13"/>
    </row>
    <row r="59" spans="2:2">
      <c r="B59" s="13"/>
    </row>
    <row r="60" spans="2:2">
      <c r="B60" s="13"/>
    </row>
    <row r="61" spans="2:2">
      <c r="B61" s="13"/>
    </row>
    <row r="62" spans="2:2">
      <c r="B62" s="13"/>
    </row>
    <row r="63" spans="2:2">
      <c r="B63" s="13"/>
    </row>
    <row r="64" spans="2:2">
      <c r="B64" s="13"/>
    </row>
    <row r="65" spans="2:2">
      <c r="B65" s="13"/>
    </row>
    <row r="66" spans="2:2">
      <c r="B66" s="13"/>
    </row>
    <row r="67" spans="2:2">
      <c r="B67" s="13"/>
    </row>
    <row r="68" spans="2:2">
      <c r="B68" s="13"/>
    </row>
    <row r="69" spans="2:2">
      <c r="B69" s="13"/>
    </row>
    <row r="70" spans="2:2">
      <c r="B70" s="13"/>
    </row>
    <row r="71" spans="2:2">
      <c r="B71" s="13"/>
    </row>
    <row r="72" spans="2:2">
      <c r="B72" s="13"/>
    </row>
    <row r="73" spans="2:2">
      <c r="B73" s="13"/>
    </row>
    <row r="74" spans="2:2">
      <c r="B74" s="13"/>
    </row>
    <row r="75" spans="2:2">
      <c r="B75" s="13"/>
    </row>
    <row r="76" spans="2:2">
      <c r="B76" s="13"/>
    </row>
    <row r="77" spans="2:2">
      <c r="B77" s="13"/>
    </row>
    <row r="78" spans="2:2">
      <c r="B78" s="13"/>
    </row>
    <row r="79" spans="2:2">
      <c r="B79" s="13"/>
    </row>
    <row r="80" spans="2:2">
      <c r="B80" s="13"/>
    </row>
    <row r="81" spans="2:2">
      <c r="B81" s="13"/>
    </row>
    <row r="82" spans="2:2">
      <c r="B82" s="13"/>
    </row>
    <row r="83" spans="2:2">
      <c r="B83" s="13"/>
    </row>
    <row r="84" spans="2:2">
      <c r="B84" s="13"/>
    </row>
    <row r="85" spans="2:2">
      <c r="B85" s="13"/>
    </row>
    <row r="86" spans="2:2">
      <c r="B86" s="13"/>
    </row>
    <row r="87" spans="2:2">
      <c r="B87" s="13"/>
    </row>
    <row r="88" spans="2:2">
      <c r="B88" s="13"/>
    </row>
  </sheetData>
  <pageMargins left="0.7" right="0.7" top="0.75" bottom="0.75" header="0.3" footer="0.3"/>
  <pageSetup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Title Page</vt:lpstr>
      <vt:lpstr>General Instructions</vt:lpstr>
      <vt:lpstr>Document Control</vt:lpstr>
      <vt:lpstr>RA.027 Candidate Rules</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RA.027 Candidate Business Rules</dc:title>
  <dc:creator>Oracle Methods</dc:creator>
  <cp:keywords>OUM</cp:keywords>
  <dc:description>Copyright © 2011, Oracle and/or its affiliates.  All rights reserved.</dc:description>
  <cp:lastModifiedBy>masander</cp:lastModifiedBy>
  <cp:lastPrinted>2010-08-08T22:18:37Z</cp:lastPrinted>
  <dcterms:created xsi:type="dcterms:W3CDTF">2007-10-09T20:56:26Z</dcterms:created>
  <dcterms:modified xsi:type="dcterms:W3CDTF">2014-10-03T21:36:30Z</dcterms:modified>
</cp:coreProperties>
</file>