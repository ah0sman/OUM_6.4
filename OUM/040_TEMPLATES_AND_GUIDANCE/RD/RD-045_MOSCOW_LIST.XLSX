
<file path=[Content_Types].xml><?xml version="1.0" encoding="utf-8"?>
<Types xmlns="http://schemas.openxmlformats.org/package/2006/content-types">
  <Override PartName="/xl/worksheets/sheet15.xml" ContentType="application/vnd.openxmlformats-officedocument.spreadsheetml.worksheet+xml"/>
  <Default Extension="bin" ContentType="application/vnd.openxmlformats-officedocument.spreadsheetml.printerSettings"/>
  <Default Extension="png" ContentType="image/png"/>
  <Override PartName="/xl/drawings/drawing9.xml" ContentType="application/vnd.openxmlformats-officedocument.drawing+xml"/>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comments8.xml" ContentType="application/vnd.openxmlformats-officedocument.spreadsheetml.comments+xml"/>
  <Override PartName="/xl/drawings/drawing6.xml" ContentType="application/vnd.openxmlformats-officedocument.drawing+xml"/>
  <Override PartName="/xl/comments9.xml" ContentType="application/vnd.openxmlformats-officedocument.spreadsheetml.comments+xml"/>
  <Override PartName="/xl/drawings/drawing7.xml" ContentType="application/vnd.openxmlformats-officedocument.drawing+xml"/>
  <Override PartName="/xl/drawings/drawing8.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4.xml" ContentType="application/vnd.openxmlformats-officedocument.drawing+xml"/>
  <Override PartName="/xl/drawings/drawing5.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xl/comments12.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45" yWindow="15" windowWidth="15480" windowHeight="4815" tabRatio="818" firstSheet="1" activeTab="1"/>
  </bookViews>
  <sheets>
    <sheet name="BneWorkBookProperties" sheetId="4" state="veryHidden" r:id="rId1"/>
    <sheet name="Title Page" sheetId="24" r:id="rId2"/>
    <sheet name="General Instructions" sheetId="26" r:id="rId3"/>
    <sheet name="Sheet Definitions" sheetId="37" r:id="rId4"/>
    <sheet name="Document Control" sheetId="25" r:id="rId5"/>
    <sheet name="Original Requirements" sheetId="27" r:id="rId6"/>
    <sheet name="RD.045 MoSCoW List" sheetId="28" r:id="rId7"/>
    <sheet name="RA.023 Use Case Catalog" sheetId="29" r:id="rId8"/>
    <sheet name="RD.055 Supplemental Req" sheetId="31" r:id="rId9"/>
    <sheet name="RA.025 Services Traceability" sheetId="32" r:id="rId10"/>
    <sheet name="RA.027 Rules Tracability" sheetId="33" r:id="rId11"/>
    <sheet name="TE.0xx Test Tracability" sheetId="34" r:id="rId12"/>
    <sheet name="RD.042 Glossary Xref" sheetId="35" r:id="rId13"/>
    <sheet name="Product Backlog (Scrum)" sheetId="39" r:id="rId14"/>
    <sheet name="Sprint Backlog (Scrum)" sheetId="38" r:id="rId15"/>
  </sheets>
  <definedNames>
    <definedName name="Author">'Document Control'!$C$10</definedName>
    <definedName name="ChangeDate">'Document Control'!$B$10:$B$14</definedName>
    <definedName name="CustomTops" localSheetId="4">'Document Control'!$C$10:$C$13</definedName>
    <definedName name="CustomTops" localSheetId="1">'Title Page'!$C$24:$C$26</definedName>
    <definedName name="Document_Ref">'Title Page'!$D$19</definedName>
    <definedName name="No">#REF!</definedName>
    <definedName name="ObjectTypes">#REF!</definedName>
    <definedName name="Subject">'Title Page'!$C$14</definedName>
    <definedName name="Title">'Title Page'!$D$11</definedName>
  </definedNames>
  <calcPr calcId="125725"/>
</workbook>
</file>

<file path=xl/calcChain.xml><?xml version="1.0" encoding="utf-8"?>
<calcChain xmlns="http://schemas.openxmlformats.org/spreadsheetml/2006/main">
  <c r="E2" i="26"/>
  <c r="F1"/>
  <c r="A1"/>
  <c r="B19" i="25"/>
  <c r="B20"/>
  <c r="B21"/>
  <c r="B22"/>
  <c r="D16" i="24"/>
  <c r="D17"/>
  <c r="D18"/>
  <c r="D20"/>
  <c r="E2" i="25"/>
  <c r="F1"/>
  <c r="A1"/>
  <c r="E2" i="24"/>
  <c r="D1"/>
  <c r="A1"/>
</calcChain>
</file>

<file path=xl/comments1.xml><?xml version="1.0" encoding="utf-8"?>
<comments xmlns="http://schemas.openxmlformats.org/spreadsheetml/2006/main">
  <authors>
    <author>Volker Eckardt</author>
  </authors>
  <commentList>
    <comment ref="D16" authorId="0">
      <text>
        <r>
          <rPr>
            <sz val="8"/>
            <color indexed="81"/>
            <rFont val="Arial"/>
            <family val="2"/>
          </rPr>
          <t>Automatically retrieved from Document Control worksheet</t>
        </r>
      </text>
    </comment>
    <comment ref="D17" authorId="0">
      <text>
        <r>
          <rPr>
            <sz val="8"/>
            <color indexed="81"/>
            <rFont val="Arial"/>
            <family val="2"/>
          </rPr>
          <t>Automatically retrieved from Document Control worksheet</t>
        </r>
      </text>
    </comment>
    <comment ref="D18" authorId="0">
      <text>
        <r>
          <rPr>
            <sz val="8"/>
            <color indexed="81"/>
            <rFont val="Arial"/>
            <family val="2"/>
          </rPr>
          <t>Automatically retrieved from Document Control worksheet</t>
        </r>
      </text>
    </comment>
    <comment ref="D20" authorId="0">
      <text>
        <r>
          <rPr>
            <sz val="8"/>
            <color indexed="81"/>
            <rFont val="Arial"/>
            <family val="2"/>
          </rPr>
          <t>Automatically retrieved from Document Control worksheet</t>
        </r>
      </text>
    </comment>
  </commentList>
</comments>
</file>

<file path=xl/comments2.xml><?xml version="1.0" encoding="utf-8"?>
<comments xmlns="http://schemas.openxmlformats.org/spreadsheetml/2006/main">
  <authors>
    <author>Volker Eckardt</author>
  </authors>
  <commentList>
    <comment ref="B19" authorId="0">
      <text>
        <r>
          <rPr>
            <sz val="8"/>
            <color indexed="81"/>
            <rFont val="Arial"/>
            <family val="2"/>
          </rPr>
          <t>This column contains a formula. Just enter a name and the number will appear automatically.</t>
        </r>
      </text>
    </comment>
  </commentList>
</comments>
</file>

<file path=xl/comments3.xml><?xml version="1.0" encoding="utf-8"?>
<comments xmlns="http://schemas.openxmlformats.org/spreadsheetml/2006/main">
  <authors>
    <author>Russell Pitts</author>
    <author>SueEllen Strapp</author>
  </authors>
  <commentList>
    <comment ref="A3" authorId="0">
      <text>
        <r>
          <rPr>
            <sz val="8"/>
            <color indexed="81"/>
            <rFont val="Arial"/>
            <family val="2"/>
          </rPr>
          <t>Use this column for uniquely identifying each row on the MoSCoW Traceability Worksheet.</t>
        </r>
      </text>
    </comment>
    <comment ref="B3" authorId="0">
      <text>
        <r>
          <rPr>
            <sz val="8"/>
            <color indexed="81"/>
            <rFont val="Arial"/>
            <family val="2"/>
          </rPr>
          <t>This column documents the source from which the requirement came (e.g., statement of work, RFP, change request, work session, standards document etc.).</t>
        </r>
      </text>
    </comment>
    <comment ref="C3" authorId="0">
      <text>
        <r>
          <rPr>
            <sz val="8"/>
            <color indexed="81"/>
            <rFont val="Arial"/>
            <family val="2"/>
          </rPr>
          <t>Column to prioritize requirements using MoSCoW) - Must Have, Should Have, Could Have, Won't Have.</t>
        </r>
        <r>
          <rPr>
            <sz val="10"/>
            <color indexed="81"/>
            <rFont val="Tahoma"/>
            <family val="2"/>
          </rPr>
          <t xml:space="preserve">
</t>
        </r>
      </text>
    </comment>
    <comment ref="D3" authorId="0">
      <text>
        <r>
          <rPr>
            <sz val="8"/>
            <color indexed="81"/>
            <rFont val="Arial"/>
            <family val="2"/>
          </rPr>
          <t>Brief Description of the requirement necessary to fulfill the objective as defined in the SOW, contract, or other Project Requirements source.</t>
        </r>
        <r>
          <rPr>
            <b/>
            <sz val="10"/>
            <color indexed="81"/>
            <rFont val="Tahoma"/>
            <family val="2"/>
          </rPr>
          <t xml:space="preserve">
</t>
        </r>
      </text>
    </comment>
    <comment ref="E3" authorId="0">
      <text>
        <r>
          <rPr>
            <sz val="8"/>
            <color indexed="81"/>
            <rFont val="Arial"/>
            <family val="2"/>
          </rPr>
          <t>Column used to identify owner of requirement as defined by SOW and/or supporting documentation.  Defined assumptions are treated as requirements owned by designated party.</t>
        </r>
      </text>
    </comment>
    <comment ref="F3" authorId="0">
      <text>
        <r>
          <rPr>
            <sz val="8"/>
            <color indexed="81"/>
            <rFont val="Arial"/>
            <family val="2"/>
          </rPr>
          <t>Use column for supporting comments.</t>
        </r>
        <r>
          <rPr>
            <sz val="10"/>
            <color indexed="81"/>
            <rFont val="Tahoma"/>
            <family val="2"/>
          </rPr>
          <t xml:space="preserve">
</t>
        </r>
      </text>
    </comment>
    <comment ref="G3" authorId="1">
      <text>
        <r>
          <rPr>
            <b/>
            <sz val="8"/>
            <color indexed="81"/>
            <rFont val="Tahoma"/>
            <family val="2"/>
          </rPr>
          <t>Column for defining the agreed upon acceptance criteria</t>
        </r>
        <r>
          <rPr>
            <sz val="8"/>
            <color indexed="81"/>
            <rFont val="Tahoma"/>
            <family val="2"/>
          </rPr>
          <t xml:space="preserve">
</t>
        </r>
      </text>
    </comment>
    <comment ref="H3" authorId="1">
      <text>
        <r>
          <rPr>
            <b/>
            <sz val="8"/>
            <color indexed="81"/>
            <rFont val="Tahoma"/>
            <family val="2"/>
          </rPr>
          <t>Column is used to link the requirements/use case to the test scenarios.</t>
        </r>
        <r>
          <rPr>
            <sz val="8"/>
            <color indexed="81"/>
            <rFont val="Tahoma"/>
            <family val="2"/>
          </rPr>
          <t xml:space="preserve">
</t>
        </r>
      </text>
    </comment>
  </commentList>
</comments>
</file>

<file path=xl/comments4.xml><?xml version="1.0" encoding="utf-8"?>
<comments xmlns="http://schemas.openxmlformats.org/spreadsheetml/2006/main">
  <authors>
    <author>Russell Pitts</author>
    <author>Theresa Merenkov</author>
    <author>SueEllen Strapp</author>
  </authors>
  <commentList>
    <comment ref="A3" authorId="0">
      <text>
        <r>
          <rPr>
            <sz val="8"/>
            <color indexed="81"/>
            <rFont val="Arial"/>
            <family val="2"/>
          </rPr>
          <t>This column is used to uniquely identify each row on this worksheet. ALL requirements packaged on subsequent tabs should always be traced back to a specific row on this MoSCoW List worksheet.</t>
        </r>
      </text>
    </comment>
    <comment ref="B3" authorId="0">
      <text>
        <r>
          <rPr>
            <sz val="8"/>
            <color indexed="81"/>
            <rFont val="Arial"/>
            <family val="2"/>
          </rPr>
          <t>This column documents the source from which the expanded requirement came (e.g. statement of work, change request, work session, standards document etc.).</t>
        </r>
      </text>
    </comment>
    <comment ref="C3" authorId="0">
      <text>
        <r>
          <rPr>
            <sz val="8"/>
            <color indexed="81"/>
            <rFont val="Arial"/>
            <family val="2"/>
          </rPr>
          <t>Column to prioritize requirements using MoSCoW) - Must Have, Should Have, Could Have, Wont Have</t>
        </r>
      </text>
    </comment>
    <comment ref="D3" authorId="0">
      <text>
        <r>
          <rPr>
            <sz val="8"/>
            <color indexed="81"/>
            <rFont val="Arial"/>
            <family val="2"/>
          </rPr>
          <t>Column to identify whether requirements are satisfied by COTS app or through custom developed components, or a combination.  When possible, name the COTs application that meets the requirement (ebus, siebel, etc.).</t>
        </r>
      </text>
    </comment>
    <comment ref="E3" authorId="0">
      <text>
        <r>
          <rPr>
            <sz val="8"/>
            <color indexed="81"/>
            <rFont val="Arial"/>
            <family val="2"/>
          </rPr>
          <t>Brief description of the requirements necessary to fulfill the objective</t>
        </r>
      </text>
    </comment>
    <comment ref="F3" authorId="0">
      <text>
        <r>
          <rPr>
            <sz val="8"/>
            <color indexed="81"/>
            <rFont val="Arial"/>
            <family val="2"/>
          </rPr>
          <t>Column used to identify owner of requirement as defined by SOW and/or supporting documentation.  Defined assumptions are treated as requirements owned by designated party.</t>
        </r>
      </text>
    </comment>
    <comment ref="G3" authorId="0">
      <text>
        <r>
          <rPr>
            <sz val="8"/>
            <color indexed="81"/>
            <rFont val="Arial"/>
            <family val="2"/>
          </rPr>
          <t>Complexity of the functional requirement.  
Very Simple
Simple
Average
Complex
Very Complex</t>
        </r>
      </text>
    </comment>
    <comment ref="H3" authorId="0">
      <text>
        <r>
          <rPr>
            <sz val="8"/>
            <color indexed="81"/>
            <rFont val="Arial"/>
            <family val="2"/>
          </rPr>
          <t>Technical, Organizational, External, Project Risk associated with the requirement.  This is further detailed in the Project Risk Management Plan.
What is the probability that something will go wrong in meeting the requirement?
A risk might happen, or it might not;  there is some uncertainty.  Use H (High), M (Medium), L (Low).</t>
        </r>
      </text>
    </comment>
    <comment ref="I3" authorId="0">
      <text>
        <r>
          <rPr>
            <sz val="8"/>
            <color indexed="81"/>
            <rFont val="Arial"/>
            <family val="2"/>
          </rPr>
          <t xml:space="preserve">Column for uniquely identifying the use case,
Originates from Use case Model [RA.023]
When used corresponds to a Use Case number on the Use Case Catalog sheet.
</t>
        </r>
        <r>
          <rPr>
            <b/>
            <sz val="8"/>
            <color indexed="81"/>
            <rFont val="Arial"/>
            <family val="2"/>
          </rPr>
          <t>Note</t>
        </r>
        <r>
          <rPr>
            <sz val="8"/>
            <color indexed="81"/>
            <rFont val="Arial"/>
            <family val="2"/>
          </rPr>
          <t xml:space="preserve"> - Requirements satisfied by  COTS applications that are defined in SOW are assigned a Use Case in order to create traceability.  Not required for Requirements satisfied by the COTS App that are not in SOW</t>
        </r>
      </text>
    </comment>
    <comment ref="J3" authorId="0">
      <text>
        <r>
          <rPr>
            <sz val="8"/>
            <color indexed="81"/>
            <rFont val="Arial"/>
            <family val="2"/>
          </rPr>
          <t>Used if reference is needed to another work product that provides further detail of the requirement.
 Examples include RA.027 Candidate Business Rules, RA.090 Reporting Fit Analysis, RA.027 Use Case Details,  RD.070 Audit and Control Requirements), DS.030 Application Set-up Documents.</t>
        </r>
      </text>
    </comment>
    <comment ref="K3" authorId="0">
      <text>
        <r>
          <rPr>
            <sz val="8"/>
            <color indexed="81"/>
            <rFont val="Tahoma"/>
            <family val="2"/>
          </rPr>
          <t>Column to document the originating process where the process is defined and necessary.
For example, process that originate from either Current Process Model [RD.030] or Future Process Model [RD.011]</t>
        </r>
      </text>
    </comment>
    <comment ref="L3" authorId="0">
      <text>
        <r>
          <rPr>
            <sz val="8"/>
            <color indexed="81"/>
            <rFont val="Arial"/>
            <family val="2"/>
          </rPr>
          <t>Column documents the Goal associated to the business objective that the requirements maps to.
If an Envision engagement was conducted this may correspond to Goals from the ER.040 Customer Diagnostic Information work product.</t>
        </r>
      </text>
    </comment>
    <comment ref="M3" authorId="0">
      <text>
        <r>
          <rPr>
            <sz val="8"/>
            <color indexed="81"/>
            <rFont val="Arial"/>
            <family val="2"/>
          </rPr>
          <t>Column that documents the objectives that support the business goal.</t>
        </r>
      </text>
    </comment>
    <comment ref="N3" authorId="1">
      <text>
        <r>
          <rPr>
            <sz val="8"/>
            <color indexed="81"/>
            <rFont val="Arial"/>
            <family val="2"/>
          </rPr>
          <t>Relevant area within the Enterprise for which this requirement is applicable:  Application, Line of Business, Enterprise wide</t>
        </r>
      </text>
    </comment>
    <comment ref="O3" authorId="0">
      <text>
        <r>
          <rPr>
            <sz val="8"/>
            <color indexed="81"/>
            <rFont val="Arial"/>
            <family val="2"/>
          </rPr>
          <t>Defines whether objective is business, application or system.
Originates from Business &amp; Systems Objectives [RD.001] or from the Enterprise level MoSCoW List.</t>
        </r>
      </text>
    </comment>
    <comment ref="P3" authorId="0">
      <text>
        <r>
          <rPr>
            <sz val="8"/>
            <color indexed="81"/>
            <rFont val="Arial"/>
            <family val="2"/>
          </rPr>
          <t>Column provides linkage to primary actors defined in RA.023 (Use Case Model) and/or RD.005 (System Context Diagram)</t>
        </r>
      </text>
    </comment>
    <comment ref="Q3" authorId="0">
      <text>
        <r>
          <rPr>
            <sz val="8"/>
            <color indexed="81"/>
            <rFont val="Arial"/>
            <family val="2"/>
          </rPr>
          <t xml:space="preserve">Column provides linkage to secondary actors defined in RA.023 (Use Case Model) and/or RD.005 (System Context Diagram)
</t>
        </r>
      </text>
    </comment>
    <comment ref="R3" authorId="0">
      <text>
        <r>
          <rPr>
            <sz val="8"/>
            <color indexed="81"/>
            <rFont val="Arial"/>
            <family val="2"/>
          </rPr>
          <t xml:space="preserve">Use column for supporting comments.
</t>
        </r>
      </text>
    </comment>
    <comment ref="S3" authorId="2">
      <text>
        <r>
          <rPr>
            <sz val="8"/>
            <color indexed="81"/>
            <rFont val="Arial"/>
            <family val="2"/>
          </rPr>
          <t>Column for defining the agreed upon acceptance criteria</t>
        </r>
      </text>
    </comment>
    <comment ref="T3" authorId="2">
      <text>
        <r>
          <rPr>
            <sz val="8"/>
            <color indexed="81"/>
            <rFont val="Arial"/>
            <family val="2"/>
          </rPr>
          <t xml:space="preserve">This column is used to provide supporting information such as changes to the original requirement.
</t>
        </r>
      </text>
    </comment>
    <comment ref="U3" authorId="2">
      <text>
        <r>
          <rPr>
            <sz val="8"/>
            <color indexed="81"/>
            <rFont val="Arial"/>
            <family val="2"/>
          </rPr>
          <t>Description of the condition(s) that indicate the requirement has been satisfied.</t>
        </r>
      </text>
    </comment>
    <comment ref="V3" authorId="2">
      <text>
        <r>
          <rPr>
            <sz val="8"/>
            <color indexed="81"/>
            <rFont val="Arial"/>
            <family val="2"/>
          </rPr>
          <t>This column is used to link the requirements/use case to the User Acceptance test scenarios that validate the requirement was satisfied.</t>
        </r>
      </text>
    </comment>
  </commentList>
</comments>
</file>

<file path=xl/comments5.xml><?xml version="1.0" encoding="utf-8"?>
<comments xmlns="http://schemas.openxmlformats.org/spreadsheetml/2006/main">
  <authors>
    <author>SueEllen Strapp</author>
    <author>Russell Pitts</author>
    <author>tmerenko</author>
  </authors>
  <commentList>
    <comment ref="L1" authorId="0">
      <text>
        <r>
          <rPr>
            <sz val="8"/>
            <color indexed="10"/>
            <rFont val="Tahoma"/>
            <family val="2"/>
          </rPr>
          <t>RD.055 Defines the kind of requirements that are 'not use cases" (aka Legal, performance, reliability, decisions …)</t>
        </r>
        <r>
          <rPr>
            <sz val="8"/>
            <color indexed="81"/>
            <rFont val="Tahoma"/>
            <family val="2"/>
          </rPr>
          <t xml:space="preserve">
</t>
        </r>
      </text>
    </comment>
    <comment ref="A3" authorId="1">
      <text>
        <r>
          <rPr>
            <sz val="8"/>
            <color indexed="81"/>
            <rFont val="Arial"/>
            <family val="2"/>
          </rPr>
          <t>This column is used to trace each row of this spreadsheet back to a specific row on the MoSCoW List worksheet.</t>
        </r>
      </text>
    </comment>
    <comment ref="B3" authorId="0">
      <text>
        <r>
          <rPr>
            <sz val="8"/>
            <color indexed="81"/>
            <rFont val="Arial"/>
            <family val="2"/>
          </rPr>
          <t>This Column is used to document the Use Case Identifier.</t>
        </r>
      </text>
    </comment>
    <comment ref="C3" authorId="1">
      <text>
        <r>
          <rPr>
            <sz val="8"/>
            <color indexed="81"/>
            <rFont val="Arial"/>
            <family val="2"/>
          </rPr>
          <t>Unique name of use case, verb/noun phrase stated as the goal of the actor. 
Originates from Use case Model [RA.023]</t>
        </r>
      </text>
    </comment>
    <comment ref="D3" authorId="1">
      <text>
        <r>
          <rPr>
            <sz val="8"/>
            <color indexed="81"/>
            <rFont val="Arial"/>
            <family val="2"/>
          </rPr>
          <t>List Actors that participate in the use case</t>
        </r>
      </text>
    </comment>
    <comment ref="E3" authorId="2">
      <text>
        <r>
          <rPr>
            <sz val="8"/>
            <color indexed="81"/>
            <rFont val="Arial"/>
            <family val="2"/>
          </rPr>
          <t>This column is used to capture the number or name of the iteration group to which this use case is assigned.</t>
        </r>
      </text>
    </comment>
    <comment ref="F3" authorId="2">
      <text>
        <r>
          <rPr>
            <sz val="8"/>
            <color indexed="81"/>
            <rFont val="Arial"/>
            <family val="2"/>
          </rPr>
          <t>Column is used to capture the use case priority. Recommended use of pair-choice technique. Values are H (High), M (Medium), L (Low)</t>
        </r>
      </text>
    </comment>
    <comment ref="G3" authorId="1">
      <text>
        <r>
          <rPr>
            <sz val="8"/>
            <color indexed="81"/>
            <rFont val="Arial"/>
            <family val="2"/>
          </rPr>
          <t>Column is used to describe the risk and impact to the project.  Recommend Risk Portfolio Chart Technique. Values are H (High), M (Medium), L (Low)</t>
        </r>
      </text>
    </comment>
    <comment ref="H3" authorId="1">
      <text>
        <r>
          <rPr>
            <sz val="8"/>
            <color indexed="81"/>
            <rFont val="Arial"/>
            <family val="2"/>
          </rPr>
          <t>Complexity of the use case.  
Very Simple
Simple
Average
Complex
Very Complex</t>
        </r>
      </text>
    </comment>
    <comment ref="I3" authorId="1">
      <text>
        <r>
          <rPr>
            <sz val="8"/>
            <color indexed="81"/>
            <rFont val="Arial"/>
            <family val="2"/>
          </rPr>
          <t xml:space="preserve">Column for  identifying other use cases that base use case depends on.
Originates from Use case Model [RA.023]
</t>
        </r>
        <r>
          <rPr>
            <b/>
            <sz val="8"/>
            <color indexed="81"/>
            <rFont val="Arial"/>
            <family val="2"/>
          </rPr>
          <t>Note</t>
        </r>
        <r>
          <rPr>
            <sz val="8"/>
            <color indexed="81"/>
            <rFont val="Arial"/>
            <family val="2"/>
          </rPr>
          <t xml:space="preserve"> - Includes use cases are usually placed within the same package as the  Dependant Use Case.</t>
        </r>
      </text>
    </comment>
    <comment ref="J3" authorId="1">
      <text>
        <r>
          <rPr>
            <sz val="8"/>
            <color indexed="81"/>
            <rFont val="Arial"/>
            <family val="2"/>
          </rPr>
          <t>This column documents the source from which the expanded requirement came (e.g. change request, work session, standards document etc.).</t>
        </r>
      </text>
    </comment>
    <comment ref="K3" authorId="0">
      <text>
        <r>
          <rPr>
            <sz val="8"/>
            <color indexed="81"/>
            <rFont val="Arial"/>
            <family val="2"/>
          </rPr>
          <t>Column is used to document the date when the originating requirement was known.</t>
        </r>
      </text>
    </comment>
    <comment ref="L3" authorId="1">
      <text>
        <r>
          <rPr>
            <sz val="8"/>
            <color indexed="81"/>
            <rFont val="Arial"/>
            <family val="2"/>
          </rPr>
          <t>This column allows for the name of the use case package, used when categorizing use cases into packages 
Common use case packaging classifications:
By actor
By process
By development team and release
By subject area (e.g. such as Data Acquisition, Security, Utility, Data Access, Data Architecture, etc.)</t>
        </r>
      </text>
    </comment>
    <comment ref="M3" authorId="1">
      <text>
        <r>
          <rPr>
            <sz val="8"/>
            <color indexed="81"/>
            <rFont val="Arial"/>
            <family val="2"/>
          </rPr>
          <t>Use this column to provide supporting information such as changes to the original requirement.</t>
        </r>
      </text>
    </comment>
    <comment ref="N3" authorId="0">
      <text>
        <r>
          <rPr>
            <sz val="8"/>
            <color indexed="81"/>
            <rFont val="Arial"/>
            <family val="2"/>
          </rPr>
          <t>This column is used to link the requirements/use case to the module or component.</t>
        </r>
      </text>
    </comment>
    <comment ref="O3" authorId="0">
      <text>
        <r>
          <rPr>
            <sz val="8"/>
            <color indexed="81"/>
            <rFont val="Arial"/>
            <family val="2"/>
          </rPr>
          <t>This column is used to link the requirements/use case to the test scenarios.</t>
        </r>
        <r>
          <rPr>
            <sz val="8"/>
            <color indexed="81"/>
            <rFont val="Tahoma"/>
            <family val="2"/>
          </rPr>
          <t xml:space="preserve">
</t>
        </r>
      </text>
    </comment>
    <comment ref="P3" authorId="0">
      <text>
        <r>
          <rPr>
            <sz val="8"/>
            <color indexed="81"/>
            <rFont val="Arial"/>
            <family val="2"/>
          </rPr>
          <t>This column is used to link the requirements/use case to the test scenarios.</t>
        </r>
      </text>
    </comment>
    <comment ref="Q3" authorId="0">
      <text>
        <r>
          <rPr>
            <sz val="8"/>
            <color indexed="81"/>
            <rFont val="Arial"/>
            <family val="2"/>
          </rPr>
          <t>This column is used to link the requirements/use case to the test scenarios.</t>
        </r>
      </text>
    </comment>
  </commentList>
</comments>
</file>

<file path=xl/comments6.xml><?xml version="1.0" encoding="utf-8"?>
<comments xmlns="http://schemas.openxmlformats.org/spreadsheetml/2006/main">
  <authors>
    <author>SueEllen Strapp</author>
    <author>Russell Pitts</author>
  </authors>
  <commentList>
    <comment ref="E1" authorId="0">
      <text>
        <r>
          <rPr>
            <sz val="8"/>
            <color indexed="81"/>
            <rFont val="Arial"/>
            <family val="2"/>
          </rPr>
          <t>RD.055 Defines the kind of requirements that are 'not use cases" e.g., Legal, performance, reliability, decisions, etc.).</t>
        </r>
      </text>
    </comment>
    <comment ref="A3" authorId="1">
      <text>
        <r>
          <rPr>
            <sz val="8"/>
            <color indexed="81"/>
            <rFont val="Arial"/>
            <family val="2"/>
          </rPr>
          <t>This column is used to trace each row of this spreadsheet back to a specific row on the MoSCoW List worksheet.</t>
        </r>
      </text>
    </comment>
    <comment ref="B3" authorId="0">
      <text>
        <r>
          <rPr>
            <sz val="8"/>
            <color indexed="81"/>
            <rFont val="Arial"/>
            <family val="2"/>
          </rPr>
          <t>Column is used to document supplemental requirements. This may include assumptions, decisions and constraints.</t>
        </r>
      </text>
    </comment>
    <comment ref="C3" authorId="1">
      <text>
        <r>
          <rPr>
            <sz val="8"/>
            <color indexed="81"/>
            <rFont val="Arial"/>
            <family val="2"/>
          </rPr>
          <t>This column documents the source from which the expanded requirement came (e.g. change request, work session, standards document, etc.).</t>
        </r>
      </text>
    </comment>
    <comment ref="D3" authorId="0">
      <text>
        <r>
          <rPr>
            <sz val="8"/>
            <color indexed="81"/>
            <rFont val="Arial"/>
            <family val="2"/>
          </rPr>
          <t>Column is used to document the date of when the originating requirement was known.</t>
        </r>
      </text>
    </comment>
    <comment ref="E3" authorId="1">
      <text>
        <r>
          <rPr>
            <sz val="8"/>
            <color indexed="81"/>
            <rFont val="Arial"/>
            <family val="2"/>
          </rPr>
          <t>This column allows for grouping supplemental requirements into logical groupings (e.g. reliability, performance, supportability, etc.).</t>
        </r>
      </text>
    </comment>
    <comment ref="F3" authorId="1">
      <text>
        <r>
          <rPr>
            <sz val="8"/>
            <color indexed="81"/>
            <rFont val="Arial"/>
            <family val="2"/>
          </rPr>
          <t>Short title that is used to reference the requirement.</t>
        </r>
      </text>
    </comment>
    <comment ref="G3" authorId="1">
      <text>
        <r>
          <rPr>
            <sz val="8"/>
            <color indexed="81"/>
            <rFont val="Arial"/>
            <family val="2"/>
          </rPr>
          <t>Brief description of the requirements necessary to fulfill the objective.</t>
        </r>
      </text>
    </comment>
    <comment ref="H3" authorId="1">
      <text>
        <r>
          <rPr>
            <sz val="8"/>
            <color indexed="81"/>
            <rFont val="Arial"/>
            <family val="2"/>
          </rPr>
          <t>This column is used to describe the impact on the project (e.g. a requirement that impacts the schedule), should indicate the level of RISK.</t>
        </r>
      </text>
    </comment>
    <comment ref="I3" authorId="1">
      <text>
        <r>
          <rPr>
            <sz val="8"/>
            <color indexed="81"/>
            <rFont val="Arial"/>
            <family val="2"/>
          </rPr>
          <t>Use this column to provide supporting information such as changes to the original requirement.</t>
        </r>
      </text>
    </comment>
    <comment ref="J3" authorId="0">
      <text>
        <r>
          <rPr>
            <sz val="8"/>
            <color indexed="81"/>
            <rFont val="Arial"/>
            <family val="2"/>
          </rPr>
          <t>Description of the condition(s) that indicate the requirement has been satisfied</t>
        </r>
      </text>
    </comment>
    <comment ref="K3" authorId="0">
      <text>
        <r>
          <rPr>
            <sz val="8"/>
            <color indexed="81"/>
            <rFont val="Arial"/>
            <family val="2"/>
          </rPr>
          <t>This column is used to link the requirements/use case to the test scenarios.</t>
        </r>
      </text>
    </comment>
  </commentList>
</comments>
</file>

<file path=xl/comments7.xml><?xml version="1.0" encoding="utf-8"?>
<comments xmlns="http://schemas.openxmlformats.org/spreadsheetml/2006/main">
  <authors>
    <author>Russell Pitts</author>
    <author>Theresa Merenkov</author>
    <author>SueEllen Strapp</author>
  </authors>
  <commentList>
    <comment ref="A10" authorId="0">
      <text>
        <r>
          <rPr>
            <sz val="8"/>
            <color indexed="81"/>
            <rFont val="Arial"/>
            <family val="2"/>
          </rPr>
          <t>This column is used to trace each row of this spreadsheet back to a specific row on the MoSCoW List worksheet.</t>
        </r>
      </text>
    </comment>
    <comment ref="B10" authorId="1">
      <text>
        <r>
          <rPr>
            <sz val="8"/>
            <color indexed="81"/>
            <rFont val="Arial"/>
            <family val="2"/>
          </rPr>
          <t>Use the service ID from the RA.025 Services Portfolio - Candidate Services work product.</t>
        </r>
      </text>
    </comment>
    <comment ref="C10" authorId="2">
      <text>
        <r>
          <rPr>
            <sz val="8"/>
            <color indexed="81"/>
            <rFont val="Arial"/>
            <family val="2"/>
          </rPr>
          <t>Use the exact service name taken from the RA.025 Service Portfolio - Candidate Services work product.</t>
        </r>
        <r>
          <rPr>
            <sz val="8"/>
            <color indexed="81"/>
            <rFont val="Tahoma"/>
            <family val="2"/>
          </rPr>
          <t xml:space="preserve">
</t>
        </r>
      </text>
    </comment>
    <comment ref="D10" authorId="1">
      <text>
        <r>
          <rPr>
            <sz val="8"/>
            <color indexed="81"/>
            <rFont val="Arial"/>
            <family val="2"/>
          </rPr>
          <t>Use the exact contract ID taken from the RA.025 Services Portfolio - Candidate Services work product.</t>
        </r>
      </text>
    </comment>
  </commentList>
</comments>
</file>

<file path=xl/comments8.xml><?xml version="1.0" encoding="utf-8"?>
<comments xmlns="http://schemas.openxmlformats.org/spreadsheetml/2006/main">
  <authors>
    <author>Russell Pitts</author>
    <author>Theresa Merenkov</author>
    <author>SueEllen Strapp</author>
  </authors>
  <commentList>
    <comment ref="A9" authorId="0">
      <text>
        <r>
          <rPr>
            <sz val="8"/>
            <color indexed="81"/>
            <rFont val="Arial"/>
            <family val="2"/>
          </rPr>
          <t>This column is used to trace each row of this spreadsheet back to a specific row on the MoSCoW List worksheet.</t>
        </r>
      </text>
    </comment>
    <comment ref="B9" authorId="1">
      <text>
        <r>
          <rPr>
            <sz val="8"/>
            <color indexed="81"/>
            <rFont val="Arial"/>
            <family val="2"/>
          </rPr>
          <t>Use the rule ID from the RA.027 Candidate Rules work product.</t>
        </r>
      </text>
    </comment>
    <comment ref="C9" authorId="2">
      <text>
        <r>
          <rPr>
            <sz val="8"/>
            <color indexed="81"/>
            <rFont val="Arial"/>
            <family val="2"/>
          </rPr>
          <t>Use the exact rule name taken from the RA.027 Candidate Rules work product.</t>
        </r>
      </text>
    </comment>
  </commentList>
</comments>
</file>

<file path=xl/comments9.xml><?xml version="1.0" encoding="utf-8"?>
<comments xmlns="http://schemas.openxmlformats.org/spreadsheetml/2006/main">
  <authors>
    <author>Russell Pitts</author>
    <author>SueEllen Strapp</author>
  </authors>
  <commentList>
    <comment ref="A5" authorId="0">
      <text>
        <r>
          <rPr>
            <sz val="8"/>
            <color indexed="81"/>
            <rFont val="Arial"/>
            <family val="2"/>
          </rPr>
          <t>This column is used to trace each row of this spreadsheet back to a specific row on the MoSCoW List worksheet.</t>
        </r>
      </text>
    </comment>
    <comment ref="B5" authorId="1">
      <text>
        <r>
          <rPr>
            <sz val="8"/>
            <color indexed="81"/>
            <rFont val="Arial"/>
            <family val="2"/>
          </rPr>
          <t>Column is used to uniquely identify the test scenario and the associated test result(s).  Example numbering is TE.999 for main success test scenarios and TE.999.99 for associated alternate and/or exception test scenarios.  This approach allows filtering to show a main success scenario and all of its associated alternate success test scenarios.</t>
        </r>
      </text>
    </comment>
    <comment ref="C5" authorId="0">
      <text>
        <r>
          <rPr>
            <sz val="8"/>
            <color indexed="81"/>
            <rFont val="Arial"/>
            <family val="2"/>
          </rPr>
          <t>For Unit tests (distinguish between - Main success scenario (MAIN) or alternate success scenarios (ALT), or exception test scenario (EXC) - This column allows one to distinguish between main success scenario and alternate success scenarios)
Integration, System, Systems Integration and Acceptance Tests. 
For larger projects, you may want to duplicate this sheet and split out each type of test individually to a separate sheets if necessary.</t>
        </r>
      </text>
    </comment>
    <comment ref="D5" authorId="0">
      <text>
        <r>
          <rPr>
            <sz val="8"/>
            <color indexed="81"/>
            <rFont val="Arial"/>
            <family val="2"/>
          </rPr>
          <t>Short title that is used to reference the test scenario versus the Test ID or test description.</t>
        </r>
      </text>
    </comment>
    <comment ref="E5" authorId="0">
      <text>
        <r>
          <rPr>
            <sz val="8"/>
            <color indexed="81"/>
            <rFont val="Arial"/>
            <family val="2"/>
          </rPr>
          <t>Documentation of whether the expected results were realized or not</t>
        </r>
      </text>
    </comment>
    <comment ref="F5" authorId="0">
      <text>
        <r>
          <rPr>
            <sz val="8"/>
            <color indexed="81"/>
            <rFont val="Arial"/>
            <family val="2"/>
          </rPr>
          <t>Name of resource who performed testing of test scenario</t>
        </r>
      </text>
    </comment>
    <comment ref="G5" authorId="0">
      <text>
        <r>
          <rPr>
            <sz val="8"/>
            <color indexed="81"/>
            <rFont val="Arial"/>
            <family val="2"/>
          </rPr>
          <t>Comments from test resource who performed test scenario when more information is needed to fully understand test</t>
        </r>
      </text>
    </comment>
  </commentList>
</comments>
</file>

<file path=xl/comments10.xml><?xml version="1.0" encoding="utf-8"?>
<comments xmlns="http://schemas.openxmlformats.org/spreadsheetml/2006/main">
  <authors>
    <author>Theresa Merenkov</author>
    <author>Russell Pitts</author>
  </authors>
  <commentList>
    <comment ref="A3" authorId="0">
      <text>
        <r>
          <rPr>
            <sz val="8"/>
            <color indexed="81"/>
            <rFont val="Arial"/>
            <family val="2"/>
          </rPr>
          <t>Insert the name of the term from the RD.042 Glossary for which you want to capture tracability.</t>
        </r>
      </text>
    </comment>
    <comment ref="B3" authorId="1">
      <text>
        <r>
          <rPr>
            <sz val="8"/>
            <color indexed="81"/>
            <rFont val="Arial"/>
            <family val="2"/>
          </rPr>
          <t>Column for tracking use of term in a particular artifact.  
Change "Artifact name" to name of artifact, and place "X" in appropriate row/column intersect.</t>
        </r>
        <r>
          <rPr>
            <sz val="10"/>
            <color indexed="81"/>
            <rFont val="Tahoma"/>
            <family val="2"/>
          </rPr>
          <t xml:space="preserve">
</t>
        </r>
      </text>
    </comment>
    <comment ref="C3" authorId="1">
      <text>
        <r>
          <rPr>
            <sz val="8"/>
            <color indexed="81"/>
            <rFont val="Arial"/>
            <family val="2"/>
          </rPr>
          <t>Column for tracking use of term in a particular artifact.  
Change "Artifact #" to name of artifact, and place "X" in appropriate row/column intersect.</t>
        </r>
      </text>
    </comment>
    <comment ref="D3" authorId="1">
      <text>
        <r>
          <rPr>
            <sz val="8"/>
            <color indexed="81"/>
            <rFont val="Arial"/>
            <family val="2"/>
          </rPr>
          <t>Column for tracking use of term in a particular artifact.  
Change "Artifact name" to name of artifact, and place "X" in appropriate row/column intersect.</t>
        </r>
      </text>
    </comment>
    <comment ref="E3" authorId="1">
      <text>
        <r>
          <rPr>
            <sz val="8"/>
            <color indexed="81"/>
            <rFont val="Arial"/>
            <family val="2"/>
          </rPr>
          <t>Column for tracking use of term in a particular artifact.  
Change "Artifact #" to name of artifact, and place "X" in appropriate row/column intersect.</t>
        </r>
        <r>
          <rPr>
            <sz val="10"/>
            <color indexed="81"/>
            <rFont val="Tahoma"/>
            <family val="2"/>
          </rPr>
          <t xml:space="preserve">
</t>
        </r>
      </text>
    </comment>
    <comment ref="F3" authorId="1">
      <text>
        <r>
          <rPr>
            <sz val="8"/>
            <color indexed="81"/>
            <rFont val="Arial"/>
            <family val="2"/>
          </rPr>
          <t>Column for tracking use of term in a particular artifact.  
Change "Artifact #" to name of artifact, and place "X" in appropriate row/column intersect.</t>
        </r>
      </text>
    </comment>
  </commentList>
</comments>
</file>

<file path=xl/comments11.xml><?xml version="1.0" encoding="utf-8"?>
<comments xmlns="http://schemas.openxmlformats.org/spreadsheetml/2006/main">
  <authors>
    <author>Russell Pitts</author>
    <author>SueEllen Strapp</author>
  </authors>
  <commentList>
    <comment ref="A3" authorId="0">
      <text>
        <r>
          <rPr>
            <sz val="8"/>
            <color indexed="81"/>
            <rFont val="Arial"/>
            <family val="2"/>
          </rPr>
          <t>This column is used to Link back to the Full MoSCoW list for the project (RD.045 sheet).</t>
        </r>
      </text>
    </comment>
    <comment ref="B3" authorId="0">
      <text>
        <r>
          <rPr>
            <sz val="8"/>
            <color indexed="81"/>
            <rFont val="Arial"/>
            <family val="2"/>
          </rPr>
          <t>This column is used to uniquely identify each row on this worksheet.  User Stories in a given Sprint are traced back to the Product Backlog using the User Story ID to the details on the Sprint Backlog</t>
        </r>
      </text>
    </comment>
    <comment ref="C3" authorId="0">
      <text>
        <r>
          <rPr>
            <sz val="8"/>
            <color indexed="81"/>
            <rFont val="Arial"/>
            <family val="2"/>
          </rPr>
          <t>This column documents the source from which the expanded requirement came (e.g., statement of work, change request, work session, standards document etc.).</t>
        </r>
      </text>
    </comment>
    <comment ref="D3" authorId="0">
      <text>
        <r>
          <rPr>
            <sz val="8"/>
            <color indexed="81"/>
            <rFont val="Arial"/>
            <family val="2"/>
          </rPr>
          <t>Column to prioritize requirements using MoSCoW) - Must Have, Should Have, Could Have, Won't Have</t>
        </r>
      </text>
    </comment>
    <comment ref="E3" authorId="0">
      <text>
        <r>
          <rPr>
            <sz val="8"/>
            <color indexed="81"/>
            <rFont val="Arial"/>
            <family val="2"/>
          </rPr>
          <t xml:space="preserve">Column for uniquely identifying the use case,
Originates from Use case Model [RA.023]
When used Corresponds to a use case number on the Use Case Catalog sheet.
</t>
        </r>
        <r>
          <rPr>
            <b/>
            <sz val="8"/>
            <color indexed="81"/>
            <rFont val="Arial"/>
            <family val="2"/>
          </rPr>
          <t>Note</t>
        </r>
        <r>
          <rPr>
            <sz val="8"/>
            <color indexed="81"/>
            <rFont val="Arial"/>
            <family val="2"/>
          </rPr>
          <t xml:space="preserve"> - Requirements satisfied by  COTS applications that are defined in SOW are assigned a use case in order to create traceability.  Not required for requirements satisfied by the COTS App that are not in SOW.</t>
        </r>
      </text>
    </comment>
    <comment ref="F3" authorId="0">
      <text>
        <r>
          <rPr>
            <sz val="8"/>
            <color indexed="81"/>
            <rFont val="Arial"/>
            <family val="2"/>
          </rPr>
          <t>Brief description of the requirements necessary to fulfill the objective</t>
        </r>
      </text>
    </comment>
    <comment ref="G3" authorId="0">
      <text>
        <r>
          <rPr>
            <sz val="8"/>
            <color indexed="81"/>
            <rFont val="Arial"/>
            <family val="2"/>
          </rPr>
          <t>Column used to identify owner of requirement as defined by SOW and/or supporting documentation.  Defined assumptions are treated as requirements owned by designated party.</t>
        </r>
      </text>
    </comment>
    <comment ref="H3" authorId="0">
      <text>
        <r>
          <rPr>
            <sz val="8"/>
            <color indexed="81"/>
            <rFont val="Arial"/>
            <family val="2"/>
          </rPr>
          <t>Column used to identify owner of requirement as defined by SOW and/or supporting documentation.  Defined assumptions are treated as requirements owned by designated party.</t>
        </r>
      </text>
    </comment>
    <comment ref="I3" authorId="0">
      <text>
        <r>
          <rPr>
            <sz val="8"/>
            <color indexed="81"/>
            <rFont val="Arial"/>
            <family val="2"/>
          </rPr>
          <t>Complexity of the functional requirement.  
Very Simple
Simple
Average
Complex
Very Complex</t>
        </r>
      </text>
    </comment>
    <comment ref="J3" authorId="0">
      <text>
        <r>
          <rPr>
            <sz val="8"/>
            <color indexed="81"/>
            <rFont val="Arial"/>
            <family val="2"/>
          </rPr>
          <t>Technical, Organizational, External project risk associated with the requirement.  This is further detailed in the Project Risk Management Plan.
What is the probability that something will go wrong in meeting the requirement?
A risk might happen, or it might not;  there is some uncertainty.  Use H (High), M (Medium), L (Low).</t>
        </r>
      </text>
    </comment>
    <comment ref="K3" authorId="0">
      <text>
        <r>
          <rPr>
            <sz val="8"/>
            <color indexed="81"/>
            <rFont val="Arial"/>
            <family val="2"/>
          </rPr>
          <t>Used if reference is needed to another work product that provides further detail of the requirement.
 Examples include RA.027 Candidate Business Rules, RA.090 Reporting Fit Analysis, RA.027 Use Case Details,  RD.070 Audit and Control Requirements), DS.030 Application Set-up Documents.</t>
        </r>
      </text>
    </comment>
    <comment ref="L3" authorId="0">
      <text>
        <r>
          <rPr>
            <sz val="8"/>
            <color indexed="81"/>
            <rFont val="Tahoma"/>
            <family val="2"/>
          </rPr>
          <t>Column to document the originating process where the process is defined and necessary.
For example, a process that originates from either Current Process Model [RD.030] or Future Process Model [RD.011].</t>
        </r>
      </text>
    </comment>
    <comment ref="M3" authorId="0">
      <text>
        <r>
          <rPr>
            <sz val="8"/>
            <color indexed="81"/>
            <rFont val="Arial"/>
            <family val="2"/>
          </rPr>
          <t xml:space="preserve">Defines whether the User Story is Functional, Non-Functional or Technical type.
 </t>
        </r>
      </text>
    </comment>
    <comment ref="N3" authorId="0">
      <text>
        <r>
          <rPr>
            <sz val="8"/>
            <color indexed="81"/>
            <rFont val="Arial"/>
            <family val="2"/>
          </rPr>
          <t>Column provides linkage to primary actors defined in RA.023 (Use Case Model) and/or RD.005 (System Context Diagram)</t>
        </r>
      </text>
    </comment>
    <comment ref="O3" authorId="0">
      <text>
        <r>
          <rPr>
            <sz val="8"/>
            <color indexed="81"/>
            <rFont val="Arial"/>
            <family val="2"/>
          </rPr>
          <t xml:space="preserve">Column provides linkage to secondary actors defined in RA.023 (Use Case Model) and/or RD.005 (System Context Diagram)
</t>
        </r>
      </text>
    </comment>
    <comment ref="P3" authorId="0">
      <text>
        <r>
          <rPr>
            <sz val="8"/>
            <color indexed="81"/>
            <rFont val="Arial"/>
            <family val="2"/>
          </rPr>
          <t xml:space="preserve">Use column for supporting comments.
</t>
        </r>
      </text>
    </comment>
    <comment ref="Q3" authorId="1">
      <text>
        <r>
          <rPr>
            <sz val="8"/>
            <color indexed="81"/>
            <rFont val="Arial"/>
            <family val="2"/>
          </rPr>
          <t>Column for defining the agreed upon acceptance criteria</t>
        </r>
      </text>
    </comment>
    <comment ref="R3" authorId="1">
      <text>
        <r>
          <rPr>
            <sz val="8"/>
            <color indexed="81"/>
            <rFont val="Arial"/>
            <family val="2"/>
          </rPr>
          <t>Description of the condition(s) that indicate the requirement has been satisfied.</t>
        </r>
      </text>
    </comment>
    <comment ref="S3" authorId="1">
      <text>
        <r>
          <rPr>
            <sz val="8"/>
            <color indexed="81"/>
            <rFont val="Arial"/>
            <family val="2"/>
          </rPr>
          <t>This column is used to link the User Story to the User Acceptance test scenarios that validate the requirement was satisfied.</t>
        </r>
      </text>
    </comment>
    <comment ref="T3" authorId="1">
      <text>
        <r>
          <rPr>
            <sz val="8"/>
            <color indexed="81"/>
            <rFont val="Arial"/>
            <family val="2"/>
          </rPr>
          <t xml:space="preserve">This column is used to provide supporting information, such as changes to the original requirement.
</t>
        </r>
      </text>
    </comment>
  </commentList>
</comments>
</file>

<file path=xl/comments12.xml><?xml version="1.0" encoding="utf-8"?>
<comments xmlns="http://schemas.openxmlformats.org/spreadsheetml/2006/main">
  <authors>
    <author>Russell Pitts</author>
    <author>SueEllen Strapp</author>
    <author>Theresa Merenkov</author>
  </authors>
  <commentList>
    <comment ref="A3" authorId="0">
      <text>
        <r>
          <rPr>
            <sz val="8"/>
            <color indexed="81"/>
            <rFont val="Arial"/>
            <family val="2"/>
          </rPr>
          <t>This column is used to trace each row of this spreadsheet back to a specific row on the MoSCoW List worksheet.</t>
        </r>
      </text>
    </comment>
    <comment ref="B3" authorId="1">
      <text>
        <r>
          <rPr>
            <sz val="8"/>
            <color indexed="81"/>
            <rFont val="Arial"/>
            <family val="2"/>
          </rPr>
          <t>This column is used to document the Use Case Identifier.</t>
        </r>
      </text>
    </comment>
    <comment ref="D3" authorId="0">
      <text>
        <r>
          <rPr>
            <sz val="8"/>
            <color indexed="81"/>
            <rFont val="Arial"/>
            <family val="2"/>
          </rPr>
          <t xml:space="preserve">Task Step description.  You would only use this column when detailing User Stories using the short form as described in RA.021.  If you are using the long form of the User Stories template you may eliminate this column.  </t>
        </r>
      </text>
    </comment>
    <comment ref="E3" authorId="0">
      <text>
        <r>
          <rPr>
            <sz val="8"/>
            <color indexed="81"/>
            <rFont val="Arial"/>
            <family val="2"/>
          </rPr>
          <t>List the Scrum team members assigned to this task.</t>
        </r>
      </text>
    </comment>
    <comment ref="F3" authorId="1">
      <text>
        <r>
          <rPr>
            <sz val="8"/>
            <color indexed="81"/>
            <rFont val="Arial"/>
            <family val="2"/>
          </rPr>
          <t>Column is used to document the date the task was assigned</t>
        </r>
      </text>
    </comment>
    <comment ref="G3" authorId="0">
      <text>
        <r>
          <rPr>
            <sz val="8"/>
            <color indexed="81"/>
            <rFont val="Arial"/>
            <family val="2"/>
          </rPr>
          <t>Use this column to provide Initial Scrum team estimate of effort for the task step to be completed, may be numbers of days or hours.</t>
        </r>
      </text>
    </comment>
    <comment ref="H3" authorId="2">
      <text>
        <r>
          <rPr>
            <sz val="8"/>
            <color indexed="81"/>
            <rFont val="Tahoma"/>
            <family val="2"/>
          </rPr>
          <t>Adjusted estimate after the Sprint has begun</t>
        </r>
      </text>
    </comment>
    <comment ref="I3" authorId="2">
      <text>
        <r>
          <rPr>
            <sz val="8"/>
            <color indexed="81"/>
            <rFont val="Tahoma"/>
            <family val="2"/>
          </rPr>
          <t>Task status: 
Started
In Progress
Completed
Cancelled
Deferred to Sprint &lt;Sprint number&gt;</t>
        </r>
      </text>
    </comment>
    <comment ref="J3" authorId="2">
      <text>
        <r>
          <rPr>
            <sz val="8"/>
            <color indexed="81"/>
            <rFont val="Tahoma"/>
            <family val="2"/>
          </rPr>
          <t>Actual Effort - 
after the step has been completed a number indicating how many hours or days.  This number will be used to prepare the burndown chart.</t>
        </r>
      </text>
    </comment>
    <comment ref="K3" authorId="0">
      <text>
        <r>
          <rPr>
            <sz val="8"/>
            <color indexed="81"/>
            <rFont val="Arial"/>
            <family val="2"/>
          </rPr>
          <t>Use this column to provide supporting information such as changes to the original requirement.</t>
        </r>
      </text>
    </comment>
    <comment ref="M3" authorId="1">
      <text>
        <r>
          <rPr>
            <sz val="8"/>
            <color indexed="81"/>
            <rFont val="Arial"/>
            <family val="2"/>
          </rPr>
          <t>This column is used to link the requirements to any resulting modules (software).</t>
        </r>
      </text>
    </comment>
    <comment ref="N3" authorId="1">
      <text>
        <r>
          <rPr>
            <sz val="8"/>
            <color indexed="81"/>
            <rFont val="Arial"/>
            <family val="2"/>
          </rPr>
          <t>This column is used to link the requirements/use cases to the test scenarios.</t>
        </r>
        <r>
          <rPr>
            <sz val="8"/>
            <color indexed="81"/>
            <rFont val="Tahoma"/>
            <family val="2"/>
          </rPr>
          <t xml:space="preserve">
</t>
        </r>
      </text>
    </comment>
    <comment ref="O3" authorId="1">
      <text>
        <r>
          <rPr>
            <sz val="8"/>
            <color indexed="81"/>
            <rFont val="Arial"/>
            <family val="2"/>
          </rPr>
          <t>This column is used to link the requirements/use cases to the test scenarios.</t>
        </r>
      </text>
    </comment>
    <comment ref="P3" authorId="1">
      <text>
        <r>
          <rPr>
            <sz val="8"/>
            <color indexed="81"/>
            <rFont val="Arial"/>
            <family val="2"/>
          </rPr>
          <t>This column is used to link the requirements/use cases to the test scenarios.</t>
        </r>
      </text>
    </comment>
  </commentList>
</comments>
</file>

<file path=xl/sharedStrings.xml><?xml version="1.0" encoding="utf-8"?>
<sst xmlns="http://schemas.openxmlformats.org/spreadsheetml/2006/main" count="313" uniqueCount="229">
  <si>
    <t>No</t>
  </si>
  <si>
    <t>Change Record</t>
  </si>
  <si>
    <t>Document Control</t>
  </si>
  <si>
    <t>Date</t>
  </si>
  <si>
    <t>Author</t>
  </si>
  <si>
    <t>Version</t>
  </si>
  <si>
    <t>Change Reference</t>
  </si>
  <si>
    <t>Reviewers</t>
  </si>
  <si>
    <t>Name</t>
  </si>
  <si>
    <t>Position</t>
  </si>
  <si>
    <t>Note</t>
  </si>
  <si>
    <t>OUM</t>
  </si>
  <si>
    <t>&lt;Company Long Name&gt;</t>
  </si>
  <si>
    <t>&lt;Subject&gt;</t>
  </si>
  <si>
    <t>Author:</t>
  </si>
  <si>
    <t>&lt;Author&gt;</t>
  </si>
  <si>
    <t>Creation Date:</t>
  </si>
  <si>
    <t>Last Updated:</t>
  </si>
  <si>
    <t>Document Ref:</t>
  </si>
  <si>
    <t>Version:</t>
  </si>
  <si>
    <t>Approvals</t>
  </si>
  <si>
    <t>&lt;Approver 1&gt;</t>
  </si>
  <si>
    <t>&lt;Approver 2&gt;</t>
  </si>
  <si>
    <t>Approver</t>
  </si>
  <si>
    <t>Signature</t>
  </si>
  <si>
    <t>&lt;Document Reference Number&gt;</t>
  </si>
  <si>
    <t>Type</t>
  </si>
  <si>
    <t>Scope</t>
  </si>
  <si>
    <t>Package</t>
  </si>
  <si>
    <t>General Instructions</t>
  </si>
  <si>
    <t>RD.045 MoSCoW List</t>
  </si>
  <si>
    <t>Use this template to create a MoSCoW (Must have, Should Have, Could Have, or Won't Have) Requirements Work Product.</t>
  </si>
  <si>
    <t>Condition</t>
  </si>
  <si>
    <t>Approach</t>
  </si>
  <si>
    <t xml:space="preserve">Requirements on MoSCoW tab without Use Case ID's </t>
  </si>
  <si>
    <t>Use Case Catalog</t>
  </si>
  <si>
    <t xml:space="preserve">New requirements may be added to the Original Requirements sheet </t>
  </si>
  <si>
    <t>When Requirements are added to the Original Requirements sheet  they should have a Source other than the Statement of Work(i.e. Meeting Minutes, CR, etc. with the corresponding dates).</t>
  </si>
  <si>
    <t>SOA Services may be managed within a middleware tool or within the enterprise repository</t>
  </si>
  <si>
    <t>You should review the task RA.025 Identify Candidate Services. You may choose to combine the spreadsheet from the RA.025 into this workbook for smaller projects.</t>
  </si>
  <si>
    <t>Review the task RA.027 Identify Candidate Business Rules to understand how rules may be identified from use cases.  Consider entering candidate Business Rules specified in the SOW or in subsequent work sessions into the RA.027, but manage rules/calculations within the application or tool.  You may choose to combine the spreadsheet from the RA.027 into this workbook for smaller projects.</t>
  </si>
  <si>
    <t>Original Requirements</t>
  </si>
  <si>
    <t>MoSCoW ID</t>
  </si>
  <si>
    <t>Source</t>
  </si>
  <si>
    <t>Priority (M/S/C/W)</t>
  </si>
  <si>
    <t>Original Requirement Summary</t>
  </si>
  <si>
    <t>Stakeholder</t>
  </si>
  <si>
    <t>Comments</t>
  </si>
  <si>
    <t>Test Scenarios</t>
  </si>
  <si>
    <t>SOW</t>
  </si>
  <si>
    <t>M</t>
  </si>
  <si>
    <t>Business Req Workshop</t>
  </si>
  <si>
    <t>C</t>
  </si>
  <si>
    <t>RFP</t>
  </si>
  <si>
    <t>S</t>
  </si>
  <si>
    <t>mm-dd-yy Req Workshop minutes</t>
  </si>
  <si>
    <t>W</t>
  </si>
  <si>
    <t>BA.040 Customer Diagnostic Information</t>
  </si>
  <si>
    <t>GAP (COTS/Custom)</t>
  </si>
  <si>
    <t>Requirement Description</t>
  </si>
  <si>
    <t>Owner</t>
  </si>
  <si>
    <t>Complexity</t>
  </si>
  <si>
    <t>Risk/ Impact</t>
  </si>
  <si>
    <t>Use Case ID</t>
  </si>
  <si>
    <t>Work Product Cross Reference/Details sheet</t>
  </si>
  <si>
    <t>Business Goal</t>
  </si>
  <si>
    <t>Objectives</t>
  </si>
  <si>
    <t>Primary Actors</t>
  </si>
  <si>
    <t>Secondary Actors</t>
  </si>
  <si>
    <t>Acceptance Criteria</t>
  </si>
  <si>
    <t>User Acceptance Test Case ID</t>
  </si>
  <si>
    <t>UC:nnn</t>
  </si>
  <si>
    <t>Use Case Name (verb/noun)</t>
  </si>
  <si>
    <t>Actors</t>
  </si>
  <si>
    <t>Iteration Group</t>
  </si>
  <si>
    <t>Customer Priority</t>
  </si>
  <si>
    <t>Comment</t>
  </si>
  <si>
    <t>Module or Component ID</t>
  </si>
  <si>
    <t>Unit Test Scenario ID</t>
  </si>
  <si>
    <t>System Test Scenario ID</t>
  </si>
  <si>
    <t>Systems Integration Test Scenario ID</t>
  </si>
  <si>
    <t>UC.nnn</t>
  </si>
  <si>
    <t>Supplemental ID</t>
  </si>
  <si>
    <t>Supplemental Type</t>
  </si>
  <si>
    <t>Supplemental Requirement Name</t>
  </si>
  <si>
    <t>Test Scenario ID(s)</t>
  </si>
  <si>
    <t>SUP.001</t>
  </si>
  <si>
    <t>** This worksheet can be used to trace SOA Services to use cases. The purpose of this traceability is to ensure that if a Service changes, all effected use cases can identified and subsequently tested.</t>
  </si>
  <si>
    <t>Service ID</t>
  </si>
  <si>
    <t>Service Name</t>
  </si>
  <si>
    <t>Contract ID</t>
  </si>
  <si>
    <t>UC.10.00</t>
  </si>
  <si>
    <t>UC 15.00</t>
  </si>
  <si>
    <t>UC 20.00</t>
  </si>
  <si>
    <t>UC 30.00</t>
  </si>
  <si>
    <t>UC 40.00</t>
  </si>
  <si>
    <t>UC 50.00</t>
  </si>
  <si>
    <t>UC 60.00</t>
  </si>
  <si>
    <t>UC 70.00</t>
  </si>
  <si>
    <t>SV.001</t>
  </si>
  <si>
    <t>X</t>
  </si>
  <si>
    <t>SV.002</t>
  </si>
  <si>
    <t>Step xx</t>
  </si>
  <si>
    <t>X in UC column = Use case is realized Entirely by this Service</t>
  </si>
  <si>
    <t>UC: Name 10.00</t>
  </si>
  <si>
    <t>UC: Name 15.00</t>
  </si>
  <si>
    <t>UC: Name 20.00</t>
  </si>
  <si>
    <t>UC: Name 30.00</t>
  </si>
  <si>
    <t>UC: Name 40.00</t>
  </si>
  <si>
    <t>UC: Name 50.00</t>
  </si>
  <si>
    <t>UC: Name 60.00</t>
  </si>
  <si>
    <t>UC: Name 70.00</t>
  </si>
  <si>
    <t xml:space="preserve"> </t>
  </si>
  <si>
    <t>If the service maps to only a single step of a UC, please enter the step number of the Use Case step that refers to the service during Design (DS.120)</t>
  </si>
  <si>
    <t>Services may later be implemented in different ways (1:1 relationship to a white box Use Case or a single step on the System side of a black box user goal use case)</t>
  </si>
  <si>
    <t>This sheet for "candidate" SOA services (RA.025) may be used to trace SOA Services to associated Use Cases</t>
  </si>
  <si>
    <t>Use Case names and numbers are manually maintained on this sheet.  It is important to note that these will need to be changed anytime the UC Names or Numbers on the RA.023 or RA.024 work products are adjusted.</t>
  </si>
  <si>
    <t>STEP xx = One step of use case is realized by this Service (*note this is manually maintained if the UC steps need to be renumbered)</t>
  </si>
  <si>
    <t xml:space="preserve">Project Rules are Identified from a number of sources including the original textual requirements, Enterprise Rules Repository, if available as well as </t>
  </si>
  <si>
    <t>Use Case and Business Process development</t>
  </si>
  <si>
    <t>Business Rule ID</t>
  </si>
  <si>
    <t>BR.001</t>
  </si>
  <si>
    <t>BR.002</t>
  </si>
  <si>
    <t>BR.003</t>
  </si>
  <si>
    <t>BR.004</t>
  </si>
  <si>
    <t>BR.005</t>
  </si>
  <si>
    <t>BR.006</t>
  </si>
  <si>
    <t>BR.007</t>
  </si>
  <si>
    <t>BR.008</t>
  </si>
  <si>
    <t>BR.009</t>
  </si>
  <si>
    <t>BR.010</t>
  </si>
  <si>
    <t>BR.011</t>
  </si>
  <si>
    <t>BR.012</t>
  </si>
  <si>
    <t>BR.013</t>
  </si>
  <si>
    <t>BR.014</t>
  </si>
  <si>
    <t>BR.015</t>
  </si>
  <si>
    <t>BR.016</t>
  </si>
  <si>
    <t>BR.017</t>
  </si>
  <si>
    <t>BR.018</t>
  </si>
  <si>
    <t>BR.019</t>
  </si>
  <si>
    <t>BR.020</t>
  </si>
  <si>
    <t>BR.021</t>
  </si>
  <si>
    <t>BR.022</t>
  </si>
  <si>
    <t>BR.023</t>
  </si>
  <si>
    <t>BR.024</t>
  </si>
  <si>
    <t>BR.025</t>
  </si>
  <si>
    <t>BR.026</t>
  </si>
  <si>
    <t>BR.027</t>
  </si>
  <si>
    <t>BR.028</t>
  </si>
  <si>
    <t>BR.029</t>
  </si>
  <si>
    <t>BR.030</t>
  </si>
  <si>
    <t>BR.031</t>
  </si>
  <si>
    <t>BR.032</t>
  </si>
  <si>
    <t>BR.033</t>
  </si>
  <si>
    <t>BR.034</t>
  </si>
  <si>
    <t>BR.035</t>
  </si>
  <si>
    <t>BR.036</t>
  </si>
  <si>
    <t>This sheet for "candidate" Rules (RA.027) may be used to trace Rules to associated Use Cases</t>
  </si>
  <si>
    <t>** This worksheet can be used to trace Rules to use cases. The purpose of this traceability is to ensure that if a Rule changes, all effected use cases can identified and subsequently tested.</t>
  </si>
  <si>
    <t>Test Scenario ID</t>
  </si>
  <si>
    <t>Test Type</t>
  </si>
  <si>
    <t>Test Scenario Name</t>
  </si>
  <si>
    <t>Result (Pass or Fail)</t>
  </si>
  <si>
    <t>Tester</t>
  </si>
  <si>
    <t>Unit</t>
  </si>
  <si>
    <t>System</t>
  </si>
  <si>
    <t>Integration</t>
  </si>
  <si>
    <t>Systems Integration</t>
  </si>
  <si>
    <t>Term</t>
  </si>
  <si>
    <t>Artifact Name</t>
  </si>
  <si>
    <t xml:space="preserve">This worksheet is intended to be used to document test scenarios and test results based on the Test Plans.  </t>
  </si>
  <si>
    <t>This sheet could be duplicated once for each type of test if the number of tests in the sheet becomes too large</t>
  </si>
  <si>
    <t>Acceptance</t>
  </si>
  <si>
    <t>U001</t>
  </si>
  <si>
    <t>INT010</t>
  </si>
  <si>
    <t>SYS101</t>
  </si>
  <si>
    <t>SYSINT010</t>
  </si>
  <si>
    <t>UAT010</t>
  </si>
  <si>
    <t>Worksheet</t>
  </si>
  <si>
    <t>Purpose</t>
  </si>
  <si>
    <t>RD.055 Supplementary Req</t>
  </si>
  <si>
    <t>RA.023 Use Case Catalog</t>
  </si>
  <si>
    <t xml:space="preserve">This worksheet identifies the original requirements gathered from the contract, the statement of work (SOW), and the Proof of Concept (POC) and any other relevant collateral provided from project definition.       </t>
  </si>
  <si>
    <t xml:space="preserve">Use this sheet to record the Supplemental Requirements for the project.  See the task guideline for the Task RD.055 Detail Supplemental Requirements </t>
  </si>
  <si>
    <t>List all the Use Cases for the project from the RA.023 Use Case Model, and cross reference back to the MoSCoW sheet for the requirement that the use case satisfies.</t>
  </si>
  <si>
    <t xml:space="preserve">This worksheet tracks test cases as outlined in the Test Plan. This worksheet can be used to populate  the Test results work product(s) if a formal document is required.  </t>
  </si>
  <si>
    <t>RD.045.Moscow List</t>
  </si>
  <si>
    <r>
      <t>Business Rules or calculations may be managed within the application, or enterprise repository</t>
    </r>
    <r>
      <rPr>
        <sz val="10"/>
        <color indexed="61"/>
        <rFont val="Arial"/>
        <family val="2"/>
      </rPr>
      <t xml:space="preserve"> </t>
    </r>
  </si>
  <si>
    <t>COTS Functionality</t>
  </si>
  <si>
    <t xml:space="preserve">Also consider using this template as a traceability matrix.  Additional Sheets have been provided after the MoSCoW sheet that will facilitate the traceability of high level requirements to functional requirements, to business rules, to Service Oriented Architecture, to Test Cases, as appropriate for individual projects.  </t>
  </si>
  <si>
    <t>This work product is meant to scale up or down; under some conditions, you may want to merge work products from other tasks into this one as additional sheets.  In some situations, the project may be very large, in that case, it is recommended that an automated tool is used such as Oracle Enterprise Repository, rather than using this spreadsheet to produce your work product.</t>
  </si>
  <si>
    <t>For Commercial Off the Shelf Software requirements stated in the Statement of Work or in the Project Charter, add a line to the Original Requirements sheet and to the MoSCoW list.  If you are using the MoSCoW as a traceability matrix, you will need to tie the test case that authenticates the requirement to the requirement on the MoSCoW list.</t>
  </si>
  <si>
    <t>When there are more than 20 use cases consider breaking up this catalog into multiple sheets by package groups (i.e. Data Access, Architecture, Data Acquisition), or by Actor (Procurement Manager, Buyer, Accounts Payable Specialist).</t>
  </si>
  <si>
    <t>Project Glossary used for traceability across multiple work products.  Common terms used in this spreadsheet should be documented here to ensure terms used in the  requirements are understood by both technical and business project members.  If the term changes, impact analysis can be done to determine which artifacts would require the term change.</t>
  </si>
  <si>
    <t>RA.025 Services Traceability</t>
  </si>
  <si>
    <t>Use this sheet to capture traceability back to the Services that are documented in the work product for Task RA.025 Identify Candidate Services.</t>
  </si>
  <si>
    <t>RA.027 Rules Traceability</t>
  </si>
  <si>
    <t>Use this sheet to capture traceability to Business rules that are documented in the work product for Task RA.027 Identify Candidate Business Rules. For small projects you may choose to combine work products and insert the RA.027 work product here.</t>
  </si>
  <si>
    <t>TE.0xx Test Traceability</t>
  </si>
  <si>
    <t>RD.042 Glossary Traceability</t>
  </si>
  <si>
    <t>Use Case Dependency</t>
  </si>
  <si>
    <t>Services should be documented using the SERVICES PORTFOLIO either using the Enterprise repository tool or using the work product associated with the Identify Candidate Services (RA.025) task.</t>
  </si>
  <si>
    <t>Rules should be documented using a Rules Repository either using a Rules Engine directly into a software product, the Enterprise repository tool or using the work product associated with the Identify Candidate Rules (RA.027) task.</t>
  </si>
  <si>
    <t>Requirements should tie to another form of implementation that satisfies the requirement.  Some examples are COTS, Business Rules, Service, Non-functional Requirement.</t>
  </si>
  <si>
    <t>This worksheet categorizes and prioritizes the requirements.  At a minimum, this sheet should hold  requirements as defined in the statement of work or project charter.  At the start of the project, the requirements listed in the "Original Requirements" and the "RD.045 MoSCoW List" tab would normally be the same, or at least, there should be a 100% coverage between the two.</t>
  </si>
  <si>
    <t>Each individual worksheet contains instructions on how it should be used. See cells with comments as indicated by the red triangle in the upper right corner of the cell.</t>
  </si>
  <si>
    <t xml:space="preserve">                      </t>
  </si>
  <si>
    <t>User Story ID</t>
  </si>
  <si>
    <t>US.nnn</t>
  </si>
  <si>
    <t>US:nnn</t>
  </si>
  <si>
    <t>Product Backlog ID</t>
  </si>
  <si>
    <t>User Story Name</t>
  </si>
  <si>
    <t>Completeness Criteria</t>
  </si>
  <si>
    <t>Business Process</t>
  </si>
  <si>
    <t>Sprint 1</t>
  </si>
  <si>
    <t>Scrum Team Assigned</t>
  </si>
  <si>
    <t xml:space="preserve">User  </t>
  </si>
  <si>
    <t>Assigned to</t>
  </si>
  <si>
    <t>Assigned Date</t>
  </si>
  <si>
    <t xml:space="preserve">Original Estimate </t>
  </si>
  <si>
    <t>Adjusted estimate</t>
  </si>
  <si>
    <t>Actual Effort</t>
  </si>
  <si>
    <t>User Story Task Step number</t>
  </si>
  <si>
    <t>Task Step description</t>
  </si>
  <si>
    <t>Status</t>
  </si>
  <si>
    <t>List User Story steps that were not completed at Sprint End</t>
  </si>
  <si>
    <t>Scrum Product backlog and Sprint Backlog are included in this workbook</t>
  </si>
  <si>
    <t>Project Managers using a Scrum approach to project management will use the last two sheets of this workbook for the Product Backlog and Sprint Backlog.  Please review the Using Scrum in OUM White paper prior to using these sheets.</t>
  </si>
  <si>
    <t>Columns to the right are OPTIONAL depending on the level of rigor applied to the project.</t>
  </si>
</sst>
</file>

<file path=xl/styles.xml><?xml version="1.0" encoding="utf-8"?>
<styleSheet xmlns="http://schemas.openxmlformats.org/spreadsheetml/2006/main">
  <numFmts count="2">
    <numFmt numFmtId="44" formatCode="_(&quot;$&quot;* #,##0.00_);_(&quot;$&quot;* \(#,##0.00\);_(&quot;$&quot;* &quot;-&quot;??_);_(@_)"/>
    <numFmt numFmtId="196" formatCode="0.0"/>
  </numFmts>
  <fonts count="44">
    <font>
      <sz val="10"/>
      <name val="Arial"/>
    </font>
    <font>
      <sz val="9"/>
      <color indexed="61"/>
      <name val="Tahoma"/>
      <family val="2"/>
    </font>
    <font>
      <sz val="9"/>
      <color indexed="8"/>
      <name val="Arial"/>
      <family val="2"/>
    </font>
    <font>
      <sz val="9"/>
      <name val="Arial"/>
      <family val="2"/>
    </font>
    <font>
      <u/>
      <sz val="10"/>
      <color indexed="12"/>
      <name val="Arial"/>
      <family val="2"/>
    </font>
    <font>
      <sz val="8"/>
      <color indexed="81"/>
      <name val="Tahoma"/>
      <family val="2"/>
    </font>
    <font>
      <sz val="8"/>
      <name val="Arial"/>
      <family val="2"/>
    </font>
    <font>
      <sz val="10"/>
      <name val="Arial"/>
      <family val="2"/>
    </font>
    <font>
      <u/>
      <sz val="9"/>
      <color indexed="12"/>
      <name val="Arial"/>
      <family val="2"/>
    </font>
    <font>
      <sz val="9"/>
      <color indexed="61"/>
      <name val="Arial"/>
      <family val="2"/>
    </font>
    <font>
      <b/>
      <sz val="18"/>
      <name val="Arial"/>
      <family val="2"/>
    </font>
    <font>
      <b/>
      <sz val="14"/>
      <name val="Arial"/>
      <family val="2"/>
    </font>
    <font>
      <b/>
      <sz val="9"/>
      <color indexed="56"/>
      <name val="Arial"/>
      <family val="2"/>
    </font>
    <font>
      <b/>
      <sz val="16"/>
      <name val="Arial"/>
      <family val="2"/>
    </font>
    <font>
      <b/>
      <sz val="16"/>
      <color indexed="12"/>
      <name val="Arial"/>
      <family val="2"/>
    </font>
    <font>
      <b/>
      <sz val="18"/>
      <color indexed="12"/>
      <name val="Arial"/>
      <family val="2"/>
    </font>
    <font>
      <sz val="12"/>
      <name val="Arial"/>
      <family val="2"/>
    </font>
    <font>
      <u/>
      <sz val="10"/>
      <color indexed="12"/>
      <name val="Arial"/>
      <family val="2"/>
    </font>
    <font>
      <b/>
      <sz val="8"/>
      <color indexed="81"/>
      <name val="Tahoma"/>
      <family val="2"/>
    </font>
    <font>
      <sz val="10"/>
      <color indexed="17"/>
      <name val="Arial"/>
      <family val="2"/>
    </font>
    <font>
      <b/>
      <sz val="10"/>
      <color indexed="8"/>
      <name val="Arial"/>
      <family val="2"/>
    </font>
    <font>
      <sz val="10"/>
      <color indexed="10"/>
      <name val="Arial"/>
      <family val="2"/>
    </font>
    <font>
      <sz val="10"/>
      <color indexed="8"/>
      <name val="Arial"/>
      <family val="2"/>
    </font>
    <font>
      <sz val="10"/>
      <color indexed="61"/>
      <name val="Arial"/>
      <family val="2"/>
    </font>
    <font>
      <sz val="10"/>
      <color indexed="81"/>
      <name val="Tahoma"/>
      <family val="2"/>
    </font>
    <font>
      <b/>
      <sz val="10"/>
      <color indexed="81"/>
      <name val="Tahoma"/>
      <family val="2"/>
    </font>
    <font>
      <b/>
      <sz val="10"/>
      <name val="Arial"/>
      <family val="2"/>
    </font>
    <font>
      <sz val="8"/>
      <color indexed="10"/>
      <name val="Tahoma"/>
      <family val="2"/>
    </font>
    <font>
      <b/>
      <sz val="10"/>
      <color indexed="17"/>
      <name val="Arial"/>
      <family val="2"/>
    </font>
    <font>
      <b/>
      <sz val="10"/>
      <color indexed="10"/>
      <name val="Arial"/>
      <family val="2"/>
    </font>
    <font>
      <b/>
      <sz val="10"/>
      <color indexed="23"/>
      <name val="Arial"/>
      <family val="2"/>
    </font>
    <font>
      <sz val="10"/>
      <color indexed="12"/>
      <name val="Arial"/>
      <family val="2"/>
    </font>
    <font>
      <strike/>
      <sz val="10"/>
      <name val="Arial"/>
      <family val="2"/>
    </font>
    <font>
      <b/>
      <strike/>
      <sz val="10"/>
      <name val="Arial"/>
      <family val="2"/>
    </font>
    <font>
      <b/>
      <sz val="10"/>
      <color indexed="12"/>
      <name val="Arial"/>
      <family val="2"/>
    </font>
    <font>
      <i/>
      <sz val="10"/>
      <color indexed="10"/>
      <name val="Arial"/>
      <family val="2"/>
    </font>
    <font>
      <sz val="8"/>
      <color indexed="81"/>
      <name val="Arial"/>
      <family val="2"/>
    </font>
    <font>
      <b/>
      <sz val="8"/>
      <color indexed="81"/>
      <name val="Arial"/>
      <family val="2"/>
    </font>
    <font>
      <sz val="10"/>
      <color rgb="FFFF0000"/>
      <name val="Arial"/>
      <family val="2"/>
    </font>
    <font>
      <sz val="10"/>
      <color theme="4" tint="-0.249977111117893"/>
      <name val="Arial"/>
      <family val="2"/>
    </font>
    <font>
      <b/>
      <i/>
      <sz val="10"/>
      <color theme="4" tint="-0.249977111117893"/>
      <name val="Arial"/>
      <family val="2"/>
    </font>
    <font>
      <b/>
      <sz val="10"/>
      <color theme="4"/>
      <name val="Arial"/>
      <family val="2"/>
    </font>
    <font>
      <sz val="10"/>
      <color theme="4"/>
      <name val="Arial"/>
      <family val="2"/>
    </font>
    <font>
      <sz val="10"/>
      <color rgb="FF000000"/>
      <name val="Arial"/>
      <family val="2"/>
    </font>
  </fonts>
  <fills count="14">
    <fill>
      <patternFill patternType="none"/>
    </fill>
    <fill>
      <patternFill patternType="gray125"/>
    </fill>
    <fill>
      <patternFill patternType="solid">
        <fgColor indexed="9"/>
        <bgColor indexed="64"/>
      </patternFill>
    </fill>
    <fill>
      <patternFill patternType="solid">
        <fgColor indexed="58"/>
        <bgColor indexed="64"/>
      </patternFill>
    </fill>
    <fill>
      <patternFill patternType="solid">
        <fgColor indexed="63"/>
        <bgColor indexed="64"/>
      </patternFill>
    </fill>
    <fill>
      <patternFill patternType="solid">
        <fgColor indexed="26"/>
        <bgColor indexed="64"/>
      </patternFill>
    </fill>
    <fill>
      <patternFill patternType="solid">
        <fgColor indexed="8"/>
        <bgColor indexed="64"/>
      </patternFill>
    </fill>
    <fill>
      <patternFill patternType="solid">
        <fgColor theme="4" tint="0.79998168889431442"/>
        <bgColor indexed="64"/>
      </patternFill>
    </fill>
    <fill>
      <patternFill patternType="solid">
        <fgColor theme="4"/>
        <bgColor indexed="64"/>
      </patternFill>
    </fill>
    <fill>
      <patternFill patternType="solid">
        <fgColor theme="4" tint="0.39997558519241921"/>
        <bgColor indexed="64"/>
      </patternFill>
    </fill>
    <fill>
      <patternFill patternType="solid">
        <fgColor theme="4" tint="0.39994506668294322"/>
        <bgColor indexed="64"/>
      </patternFill>
    </fill>
    <fill>
      <patternFill patternType="solid">
        <fgColor rgb="FF92D050"/>
        <bgColor indexed="64"/>
      </patternFill>
    </fill>
    <fill>
      <patternFill patternType="solid">
        <fgColor rgb="FFFF0000"/>
        <bgColor indexed="64"/>
      </patternFill>
    </fill>
    <fill>
      <patternFill patternType="solid">
        <fgColor theme="0" tint="-0.14999847407452621"/>
        <bgColor indexed="64"/>
      </patternFill>
    </fill>
  </fills>
  <borders count="25">
    <border>
      <left/>
      <right/>
      <top/>
      <bottom/>
      <diagonal/>
    </border>
    <border>
      <left style="thin">
        <color indexed="23"/>
      </left>
      <right style="thin">
        <color indexed="23"/>
      </right>
      <top style="thin">
        <color indexed="23"/>
      </top>
      <bottom style="thin">
        <color indexed="23"/>
      </bottom>
      <diagonal/>
    </border>
    <border>
      <left style="thin">
        <color indexed="23"/>
      </left>
      <right/>
      <top style="thin">
        <color indexed="23"/>
      </top>
      <bottom/>
      <diagonal/>
    </border>
    <border>
      <left/>
      <right/>
      <top style="thin">
        <color indexed="23"/>
      </top>
      <bottom/>
      <diagonal/>
    </border>
    <border>
      <left/>
      <right style="thin">
        <color indexed="23"/>
      </right>
      <top style="thin">
        <color indexed="23"/>
      </top>
      <bottom style="thin">
        <color indexed="23"/>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ck">
        <color indexed="8"/>
      </left>
      <right style="thick">
        <color indexed="8"/>
      </right>
      <top style="thick">
        <color indexed="8"/>
      </top>
      <bottom style="thick">
        <color indexed="8"/>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
      <left style="thin">
        <color indexed="23"/>
      </left>
      <right/>
      <top style="thin">
        <color indexed="23"/>
      </top>
      <bottom style="thin">
        <color indexed="23"/>
      </bottom>
      <diagonal/>
    </border>
    <border>
      <left/>
      <right/>
      <top style="thin">
        <color indexed="23"/>
      </top>
      <bottom style="thin">
        <color indexed="23"/>
      </bottom>
      <diagonal/>
    </border>
  </borders>
  <cellStyleXfs count="2">
    <xf numFmtId="0" fontId="0" fillId="0" borderId="0"/>
    <xf numFmtId="0" fontId="4" fillId="0" borderId="0" applyNumberFormat="0" applyFill="0" applyBorder="0" applyAlignment="0" applyProtection="0">
      <alignment vertical="top"/>
      <protection locked="0"/>
    </xf>
  </cellStyleXfs>
  <cellXfs count="212">
    <xf numFmtId="0" fontId="0" fillId="0" borderId="0" xfId="0"/>
    <xf numFmtId="49" fontId="0" fillId="0" borderId="0" xfId="0" applyNumberFormat="1" applyAlignment="1">
      <alignment horizontal="center"/>
    </xf>
    <xf numFmtId="49" fontId="2" fillId="2" borderId="1" xfId="0" applyNumberFormat="1" applyFont="1" applyFill="1" applyBorder="1" applyAlignment="1" applyProtection="1">
      <alignment vertical="top" wrapText="1"/>
      <protection locked="0"/>
    </xf>
    <xf numFmtId="0" fontId="3" fillId="3" borderId="1" xfId="0" applyFont="1" applyFill="1" applyBorder="1" applyAlignment="1">
      <alignment vertical="top" wrapText="1"/>
    </xf>
    <xf numFmtId="0" fontId="0" fillId="0" borderId="0" xfId="0" applyAlignment="1">
      <alignment vertical="center"/>
    </xf>
    <xf numFmtId="49" fontId="2" fillId="2" borderId="1" xfId="0" applyNumberFormat="1" applyFont="1" applyFill="1" applyBorder="1" applyAlignment="1" applyProtection="1">
      <alignment vertical="center" wrapText="1"/>
      <protection locked="0"/>
    </xf>
    <xf numFmtId="196" fontId="2" fillId="2" borderId="1" xfId="0" applyNumberFormat="1" applyFont="1" applyFill="1" applyBorder="1" applyAlignment="1" applyProtection="1">
      <alignment horizontal="left" vertical="center" wrapText="1"/>
      <protection locked="0"/>
    </xf>
    <xf numFmtId="196" fontId="2" fillId="2" borderId="1" xfId="0" applyNumberFormat="1" applyFont="1" applyFill="1" applyBorder="1" applyAlignment="1" applyProtection="1">
      <alignment horizontal="left" vertical="top" wrapText="1"/>
      <protection locked="0"/>
    </xf>
    <xf numFmtId="14" fontId="2" fillId="2" borderId="1" xfId="0" applyNumberFormat="1" applyFont="1" applyFill="1" applyBorder="1" applyAlignment="1" applyProtection="1">
      <alignment horizontal="center" vertical="top" wrapText="1"/>
      <protection locked="0"/>
    </xf>
    <xf numFmtId="14" fontId="2" fillId="2" borderId="1" xfId="0" applyNumberFormat="1" applyFont="1" applyFill="1" applyBorder="1" applyAlignment="1" applyProtection="1">
      <alignment horizontal="left" vertical="center" wrapText="1"/>
      <protection locked="0"/>
    </xf>
    <xf numFmtId="0" fontId="2" fillId="2" borderId="1" xfId="0" applyNumberFormat="1" applyFont="1" applyFill="1" applyBorder="1" applyAlignment="1" applyProtection="1">
      <alignment horizontal="center" vertical="top" wrapText="1"/>
      <protection locked="0"/>
    </xf>
    <xf numFmtId="0" fontId="6" fillId="0" borderId="0" xfId="0" applyFont="1"/>
    <xf numFmtId="49" fontId="7" fillId="0" borderId="0" xfId="0" applyNumberFormat="1" applyFont="1" applyAlignment="1">
      <alignment horizontal="center"/>
    </xf>
    <xf numFmtId="0" fontId="7" fillId="0" borderId="0" xfId="0" applyFont="1"/>
    <xf numFmtId="22" fontId="6" fillId="0" borderId="0" xfId="0" applyNumberFormat="1" applyFont="1" applyAlignment="1">
      <alignment horizontal="right"/>
    </xf>
    <xf numFmtId="0" fontId="8" fillId="3" borderId="0" xfId="1" applyFont="1" applyFill="1" applyAlignment="1" applyProtection="1"/>
    <xf numFmtId="49" fontId="9" fillId="3" borderId="0" xfId="0" applyNumberFormat="1" applyFont="1" applyFill="1" applyAlignment="1">
      <alignment horizontal="center"/>
    </xf>
    <xf numFmtId="0" fontId="9" fillId="3" borderId="0" xfId="0" applyFont="1" applyFill="1"/>
    <xf numFmtId="49" fontId="10" fillId="3" borderId="0" xfId="0" applyNumberFormat="1" applyFont="1" applyFill="1" applyAlignment="1">
      <alignment horizontal="left"/>
    </xf>
    <xf numFmtId="49" fontId="11" fillId="3" borderId="0" xfId="0" applyNumberFormat="1" applyFont="1" applyFill="1" applyAlignment="1">
      <alignment horizontal="left"/>
    </xf>
    <xf numFmtId="0" fontId="9" fillId="3" borderId="0" xfId="0" applyFont="1" applyFill="1" applyAlignment="1">
      <alignment vertical="center"/>
    </xf>
    <xf numFmtId="49" fontId="12" fillId="4" borderId="2" xfId="0" applyNumberFormat="1" applyFont="1" applyFill="1" applyBorder="1" applyAlignment="1" applyProtection="1">
      <alignment horizontal="center" vertical="center"/>
    </xf>
    <xf numFmtId="49" fontId="12" fillId="4" borderId="3" xfId="0" applyNumberFormat="1" applyFont="1" applyFill="1" applyBorder="1" applyAlignment="1" applyProtection="1">
      <alignment vertical="center"/>
    </xf>
    <xf numFmtId="49" fontId="12" fillId="4" borderId="3" xfId="0" applyNumberFormat="1" applyFont="1" applyFill="1" applyBorder="1" applyAlignment="1" applyProtection="1">
      <alignment horizontal="left" vertical="center"/>
    </xf>
    <xf numFmtId="49" fontId="12" fillId="4" borderId="4" xfId="0" applyNumberFormat="1" applyFont="1" applyFill="1" applyBorder="1" applyAlignment="1" applyProtection="1">
      <alignment vertical="center"/>
    </xf>
    <xf numFmtId="14" fontId="9" fillId="3" borderId="0" xfId="0" applyNumberFormat="1" applyFont="1" applyFill="1" applyAlignment="1">
      <alignment horizontal="center"/>
    </xf>
    <xf numFmtId="196" fontId="9" fillId="3" borderId="0" xfId="0" applyNumberFormat="1" applyFont="1" applyFill="1" applyAlignment="1">
      <alignment horizontal="left"/>
    </xf>
    <xf numFmtId="49" fontId="13" fillId="3" borderId="0" xfId="0" applyNumberFormat="1" applyFont="1" applyFill="1" applyAlignment="1">
      <alignment horizontal="left"/>
    </xf>
    <xf numFmtId="0" fontId="14" fillId="3" borderId="0" xfId="0" applyFont="1" applyFill="1"/>
    <xf numFmtId="49" fontId="15" fillId="3" borderId="0" xfId="0" applyNumberFormat="1" applyFont="1" applyFill="1" applyAlignment="1">
      <alignment horizontal="left"/>
    </xf>
    <xf numFmtId="49" fontId="12" fillId="4" borderId="2" xfId="0" applyNumberFormat="1" applyFont="1" applyFill="1" applyBorder="1" applyAlignment="1" applyProtection="1">
      <alignment horizontal="left" vertical="center"/>
    </xf>
    <xf numFmtId="49" fontId="12" fillId="4" borderId="1" xfId="0" applyNumberFormat="1" applyFont="1" applyFill="1" applyBorder="1" applyAlignment="1" applyProtection="1">
      <alignment horizontal="left" vertical="center"/>
    </xf>
    <xf numFmtId="0" fontId="16" fillId="3" borderId="0" xfId="0" applyFont="1" applyFill="1"/>
    <xf numFmtId="0" fontId="17" fillId="3" borderId="0" xfId="1" applyFont="1" applyFill="1" applyAlignment="1" applyProtection="1">
      <alignment horizontal="right"/>
    </xf>
    <xf numFmtId="0" fontId="2" fillId="2" borderId="1" xfId="0" applyNumberFormat="1" applyFont="1" applyFill="1" applyBorder="1" applyAlignment="1" applyProtection="1">
      <alignment vertical="center" wrapText="1"/>
      <protection locked="0"/>
    </xf>
    <xf numFmtId="0" fontId="12" fillId="4" borderId="2" xfId="0" applyNumberFormat="1" applyFont="1" applyFill="1" applyBorder="1" applyAlignment="1" applyProtection="1">
      <alignment horizontal="center" vertical="center"/>
    </xf>
    <xf numFmtId="0" fontId="7" fillId="0" borderId="5" xfId="0" applyFont="1" applyFill="1" applyBorder="1" applyAlignment="1">
      <alignment horizontal="center" vertical="top" wrapText="1"/>
    </xf>
    <xf numFmtId="0" fontId="7" fillId="0" borderId="6" xfId="0" applyFont="1" applyFill="1" applyBorder="1" applyAlignment="1">
      <alignment horizontal="center" vertical="top" wrapText="1"/>
    </xf>
    <xf numFmtId="0" fontId="39" fillId="0" borderId="7" xfId="0" applyFont="1" applyFill="1" applyBorder="1" applyAlignment="1">
      <alignment vertical="top" wrapText="1"/>
    </xf>
    <xf numFmtId="0" fontId="40" fillId="0" borderId="7" xfId="0" applyFont="1" applyBorder="1" applyAlignment="1">
      <alignment vertical="top" wrapText="1"/>
    </xf>
    <xf numFmtId="0" fontId="39" fillId="0" borderId="7" xfId="0" applyFont="1" applyBorder="1" applyAlignment="1">
      <alignment vertical="top" wrapText="1"/>
    </xf>
    <xf numFmtId="0" fontId="26" fillId="5" borderId="6" xfId="0" applyFont="1" applyFill="1" applyBorder="1"/>
    <xf numFmtId="14" fontId="9" fillId="7" borderId="0" xfId="0" applyNumberFormat="1" applyFont="1" applyFill="1" applyAlignment="1">
      <alignment horizontal="center"/>
    </xf>
    <xf numFmtId="0" fontId="9" fillId="7" borderId="0" xfId="0" applyFont="1" applyFill="1"/>
    <xf numFmtId="196" fontId="9" fillId="7" borderId="0" xfId="0" applyNumberFormat="1" applyFont="1" applyFill="1" applyAlignment="1">
      <alignment horizontal="left"/>
    </xf>
    <xf numFmtId="0" fontId="8" fillId="7" borderId="0" xfId="1" applyFont="1" applyFill="1" applyAlignment="1" applyProtection="1"/>
    <xf numFmtId="49" fontId="9" fillId="7" borderId="0" xfId="0" applyNumberFormat="1" applyFont="1" applyFill="1" applyAlignment="1">
      <alignment horizontal="center"/>
    </xf>
    <xf numFmtId="49" fontId="10" fillId="7" borderId="0" xfId="0" applyNumberFormat="1" applyFont="1" applyFill="1" applyAlignment="1">
      <alignment horizontal="left"/>
    </xf>
    <xf numFmtId="0" fontId="20" fillId="8" borderId="0" xfId="0" applyFont="1" applyFill="1" applyBorder="1" applyAlignment="1">
      <alignment horizontal="center" vertical="top" wrapText="1"/>
    </xf>
    <xf numFmtId="0" fontId="7" fillId="0" borderId="0" xfId="0" applyFont="1" applyFill="1" applyBorder="1"/>
    <xf numFmtId="0" fontId="26" fillId="9" borderId="8" xfId="0" applyFont="1" applyFill="1" applyBorder="1" applyAlignment="1">
      <alignment horizontal="center" vertical="top" wrapText="1"/>
    </xf>
    <xf numFmtId="0" fontId="26" fillId="9" borderId="9" xfId="0" applyFont="1" applyFill="1" applyBorder="1" applyAlignment="1">
      <alignment horizontal="center" vertical="top" wrapText="1"/>
    </xf>
    <xf numFmtId="0" fontId="26" fillId="9" borderId="10" xfId="0" applyFont="1" applyFill="1" applyBorder="1" applyAlignment="1">
      <alignment horizontal="center" vertical="top" wrapText="1"/>
    </xf>
    <xf numFmtId="0" fontId="7" fillId="0" borderId="6" xfId="0" applyFont="1" applyFill="1" applyBorder="1" applyAlignment="1">
      <alignment vertical="top" wrapText="1"/>
    </xf>
    <xf numFmtId="0" fontId="20" fillId="9" borderId="11" xfId="0" applyFont="1" applyFill="1" applyBorder="1" applyAlignment="1">
      <alignment horizontal="center" vertical="top" wrapText="1"/>
    </xf>
    <xf numFmtId="0" fontId="20" fillId="9" borderId="12" xfId="0" applyFont="1" applyFill="1" applyBorder="1" applyAlignment="1">
      <alignment horizontal="center" vertical="top" wrapText="1"/>
    </xf>
    <xf numFmtId="0" fontId="20" fillId="9" borderId="6" xfId="0" applyFont="1" applyFill="1" applyBorder="1" applyAlignment="1">
      <alignment horizontal="center" vertical="top" wrapText="1"/>
    </xf>
    <xf numFmtId="0" fontId="7" fillId="9" borderId="0" xfId="0" applyFont="1" applyFill="1"/>
    <xf numFmtId="0" fontId="7" fillId="0" borderId="0" xfId="0" applyFont="1" applyFill="1" applyAlignment="1">
      <alignment vertical="top" wrapText="1"/>
    </xf>
    <xf numFmtId="0" fontId="7" fillId="0" borderId="6" xfId="0" applyFont="1" applyBorder="1"/>
    <xf numFmtId="0" fontId="7" fillId="0" borderId="6" xfId="0" applyFont="1" applyBorder="1" applyAlignment="1"/>
    <xf numFmtId="0" fontId="7" fillId="0" borderId="5" xfId="0" applyFont="1" applyBorder="1"/>
    <xf numFmtId="0" fontId="7" fillId="0" borderId="5" xfId="0" applyFont="1" applyFill="1" applyBorder="1"/>
    <xf numFmtId="0" fontId="19" fillId="0" borderId="6" xfId="0" applyFont="1" applyFill="1" applyBorder="1" applyAlignment="1">
      <alignment vertical="top" wrapText="1"/>
    </xf>
    <xf numFmtId="0" fontId="7" fillId="0" borderId="6" xfId="0" applyFont="1" applyFill="1" applyBorder="1"/>
    <xf numFmtId="0" fontId="26" fillId="0" borderId="6" xfId="0" applyFont="1" applyBorder="1" applyAlignment="1">
      <alignment horizontal="center" vertical="center" wrapText="1"/>
    </xf>
    <xf numFmtId="0" fontId="7" fillId="0" borderId="6" xfId="0" applyFont="1" applyBorder="1" applyAlignment="1">
      <alignment horizontal="left" vertical="top"/>
    </xf>
    <xf numFmtId="0" fontId="7" fillId="0" borderId="6" xfId="0" applyFont="1" applyBorder="1" applyAlignment="1">
      <alignment horizontal="center" vertical="top"/>
    </xf>
    <xf numFmtId="0" fontId="7" fillId="0" borderId="6" xfId="0" applyFont="1" applyBorder="1" applyAlignment="1">
      <alignment horizontal="left" vertical="top" wrapText="1"/>
    </xf>
    <xf numFmtId="0" fontId="7" fillId="0" borderId="5" xfId="0" applyFont="1" applyBorder="1" applyAlignment="1">
      <alignment vertical="top" wrapText="1"/>
    </xf>
    <xf numFmtId="0" fontId="7" fillId="0" borderId="6" xfId="0" applyFont="1" applyBorder="1" applyAlignment="1">
      <alignment vertical="top" wrapText="1"/>
    </xf>
    <xf numFmtId="0" fontId="7" fillId="2" borderId="0" xfId="0" applyFont="1" applyFill="1" applyAlignment="1">
      <alignment horizontal="left" vertical="top"/>
    </xf>
    <xf numFmtId="0" fontId="7" fillId="2" borderId="0" xfId="0" applyFont="1" applyFill="1" applyAlignment="1">
      <alignment horizontal="center" vertical="top"/>
    </xf>
    <xf numFmtId="0" fontId="7" fillId="2" borderId="0" xfId="0" applyFont="1" applyFill="1"/>
    <xf numFmtId="0" fontId="7" fillId="2" borderId="0" xfId="0" applyFont="1" applyFill="1" applyAlignment="1"/>
    <xf numFmtId="0" fontId="21" fillId="2" borderId="0" xfId="0" applyFont="1" applyFill="1" applyAlignment="1">
      <alignment horizontal="left" vertical="top"/>
    </xf>
    <xf numFmtId="0" fontId="7" fillId="0" borderId="0" xfId="0" applyFont="1" applyAlignment="1"/>
    <xf numFmtId="0" fontId="38" fillId="2" borderId="0" xfId="0" applyFont="1" applyFill="1" applyAlignment="1">
      <alignment horizontal="left" vertical="top"/>
    </xf>
    <xf numFmtId="0" fontId="26" fillId="2" borderId="0" xfId="0" applyFont="1" applyFill="1" applyAlignment="1">
      <alignment horizontal="left" vertical="top"/>
    </xf>
    <xf numFmtId="0" fontId="41" fillId="0" borderId="6" xfId="0" applyFont="1" applyFill="1" applyBorder="1"/>
    <xf numFmtId="0" fontId="42" fillId="0" borderId="0" xfId="0" applyFont="1"/>
    <xf numFmtId="0" fontId="41" fillId="2" borderId="0" xfId="0" applyFont="1" applyFill="1" applyAlignment="1">
      <alignment horizontal="left" vertical="top"/>
    </xf>
    <xf numFmtId="0" fontId="20" fillId="9" borderId="5" xfId="0" applyFont="1" applyFill="1" applyBorder="1" applyAlignment="1">
      <alignment horizontal="center" vertical="top" wrapText="1"/>
    </xf>
    <xf numFmtId="0" fontId="26" fillId="9" borderId="12" xfId="0" applyFont="1" applyFill="1" applyBorder="1" applyAlignment="1">
      <alignment horizontal="left" textRotation="68" wrapText="1"/>
    </xf>
    <xf numFmtId="0" fontId="26" fillId="9" borderId="12" xfId="0" applyFont="1" applyFill="1" applyBorder="1" applyAlignment="1">
      <alignment textRotation="68" wrapText="1"/>
    </xf>
    <xf numFmtId="0" fontId="26" fillId="2" borderId="0" xfId="0" applyFont="1" applyFill="1" applyAlignment="1">
      <alignment horizontal="center" vertical="top"/>
    </xf>
    <xf numFmtId="0" fontId="26" fillId="2" borderId="0" xfId="0" applyFont="1" applyFill="1"/>
    <xf numFmtId="0" fontId="7" fillId="6" borderId="13" xfId="0" applyFont="1" applyFill="1" applyBorder="1"/>
    <xf numFmtId="0" fontId="7" fillId="6" borderId="14" xfId="0" applyFont="1" applyFill="1" applyBorder="1" applyAlignment="1">
      <alignment horizontal="center" vertical="top"/>
    </xf>
    <xf numFmtId="0" fontId="7" fillId="6" borderId="14" xfId="0" applyFont="1" applyFill="1" applyBorder="1"/>
    <xf numFmtId="0" fontId="19" fillId="6" borderId="9" xfId="0" applyFont="1" applyFill="1" applyBorder="1" applyAlignment="1">
      <alignment horizontal="left" textRotation="68" wrapText="1"/>
    </xf>
    <xf numFmtId="0" fontId="19" fillId="6" borderId="9" xfId="0" applyFont="1" applyFill="1" applyBorder="1" applyAlignment="1">
      <alignment textRotation="68" wrapText="1"/>
    </xf>
    <xf numFmtId="0" fontId="19" fillId="6" borderId="10" xfId="0" applyFont="1" applyFill="1" applyBorder="1" applyAlignment="1">
      <alignment textRotation="68" wrapText="1"/>
    </xf>
    <xf numFmtId="0" fontId="28" fillId="9" borderId="5" xfId="0" applyFont="1" applyFill="1" applyBorder="1" applyAlignment="1">
      <alignment horizontal="center" vertical="top" wrapText="1"/>
    </xf>
    <xf numFmtId="0" fontId="21" fillId="0" borderId="0" xfId="0" applyFont="1" applyAlignment="1">
      <alignment vertical="top" wrapText="1"/>
    </xf>
    <xf numFmtId="0" fontId="7" fillId="0" borderId="0" xfId="0" applyFont="1" applyAlignment="1">
      <alignment wrapText="1"/>
    </xf>
    <xf numFmtId="0" fontId="21" fillId="6" borderId="13" xfId="0" applyFont="1" applyFill="1" applyBorder="1" applyAlignment="1">
      <alignment vertical="top" wrapText="1"/>
    </xf>
    <xf numFmtId="0" fontId="7" fillId="6" borderId="14" xfId="0" applyFont="1" applyFill="1" applyBorder="1" applyAlignment="1">
      <alignment wrapText="1"/>
    </xf>
    <xf numFmtId="0" fontId="21" fillId="6" borderId="14" xfId="0" applyFont="1" applyFill="1" applyBorder="1" applyAlignment="1">
      <alignment vertical="top" wrapText="1"/>
    </xf>
    <xf numFmtId="0" fontId="7" fillId="6" borderId="15" xfId="0" applyFont="1" applyFill="1" applyBorder="1" applyAlignment="1">
      <alignment wrapText="1"/>
    </xf>
    <xf numFmtId="0" fontId="7" fillId="0" borderId="0" xfId="0" applyFont="1" applyAlignment="1">
      <alignment horizontal="left" vertical="top" wrapText="1"/>
    </xf>
    <xf numFmtId="0" fontId="26" fillId="0" borderId="0" xfId="0" applyFont="1" applyAlignment="1">
      <alignment vertical="top" wrapText="1"/>
    </xf>
    <xf numFmtId="0" fontId="7" fillId="0" borderId="0" xfId="0" applyFont="1" applyAlignment="1">
      <alignment horizontal="center"/>
    </xf>
    <xf numFmtId="0" fontId="26" fillId="6" borderId="14" xfId="0" applyFont="1" applyFill="1" applyBorder="1" applyAlignment="1">
      <alignment vertical="top" wrapText="1"/>
    </xf>
    <xf numFmtId="0" fontId="7" fillId="6" borderId="14" xfId="0" applyFont="1" applyFill="1" applyBorder="1" applyAlignment="1">
      <alignment horizontal="center"/>
    </xf>
    <xf numFmtId="0" fontId="7" fillId="6" borderId="15" xfId="0" applyFont="1" applyFill="1" applyBorder="1" applyAlignment="1">
      <alignment horizontal="center"/>
    </xf>
    <xf numFmtId="0" fontId="26" fillId="9" borderId="16" xfId="0" applyFont="1" applyFill="1" applyBorder="1" applyAlignment="1">
      <alignment horizontal="center" vertical="top" wrapText="1"/>
    </xf>
    <xf numFmtId="0" fontId="0" fillId="7" borderId="6" xfId="0" applyFill="1" applyBorder="1" applyAlignment="1">
      <alignment vertical="top" wrapText="1"/>
    </xf>
    <xf numFmtId="0" fontId="7" fillId="7" borderId="6" xfId="0" applyFont="1" applyFill="1" applyBorder="1" applyAlignment="1">
      <alignment vertical="top" wrapText="1"/>
    </xf>
    <xf numFmtId="0" fontId="7" fillId="7" borderId="0" xfId="0" applyFont="1" applyFill="1"/>
    <xf numFmtId="0" fontId="7" fillId="7" borderId="0" xfId="0" applyFont="1" applyFill="1" applyAlignment="1">
      <alignment vertical="center"/>
    </xf>
    <xf numFmtId="0" fontId="7" fillId="0" borderId="0" xfId="0" applyFont="1" applyAlignment="1">
      <alignment vertical="center"/>
    </xf>
    <xf numFmtId="0" fontId="23" fillId="7" borderId="0" xfId="0" applyFont="1" applyFill="1"/>
    <xf numFmtId="0" fontId="23" fillId="7" borderId="0" xfId="0" applyFont="1" applyFill="1" applyAlignment="1">
      <alignment vertical="top"/>
    </xf>
    <xf numFmtId="0" fontId="29" fillId="0" borderId="0" xfId="0" applyFont="1" applyFill="1" applyBorder="1" applyAlignment="1">
      <alignment horizontal="left" vertical="top"/>
    </xf>
    <xf numFmtId="0" fontId="7" fillId="0" borderId="0" xfId="0" applyFont="1" applyFill="1" applyBorder="1" applyAlignment="1">
      <alignment horizontal="center" vertical="top" wrapText="1"/>
    </xf>
    <xf numFmtId="0" fontId="7" fillId="0" borderId="0" xfId="0" applyFont="1" applyBorder="1" applyAlignment="1">
      <alignment vertical="top" wrapText="1"/>
    </xf>
    <xf numFmtId="0" fontId="7" fillId="0" borderId="12" xfId="0" applyFont="1" applyBorder="1" applyAlignment="1">
      <alignment vertical="top" wrapText="1"/>
    </xf>
    <xf numFmtId="0" fontId="29" fillId="6" borderId="17" xfId="0" applyFont="1" applyFill="1" applyBorder="1" applyAlignment="1">
      <alignment horizontal="left" vertical="top"/>
    </xf>
    <xf numFmtId="0" fontId="7" fillId="6" borderId="18" xfId="0" applyFont="1" applyFill="1" applyBorder="1" applyAlignment="1">
      <alignment horizontal="center" vertical="top" wrapText="1"/>
    </xf>
    <xf numFmtId="0" fontId="7" fillId="6" borderId="18" xfId="0" applyFont="1" applyFill="1" applyBorder="1" applyAlignment="1">
      <alignment vertical="top" wrapText="1"/>
    </xf>
    <xf numFmtId="0" fontId="7" fillId="6" borderId="19" xfId="0" applyFont="1" applyFill="1" applyBorder="1" applyAlignment="1">
      <alignment vertical="top" wrapText="1"/>
    </xf>
    <xf numFmtId="0" fontId="7" fillId="6" borderId="20" xfId="0" applyFont="1" applyFill="1" applyBorder="1" applyAlignment="1">
      <alignment vertical="top" wrapText="1"/>
    </xf>
    <xf numFmtId="0" fontId="7" fillId="6" borderId="16" xfId="0" applyFont="1" applyFill="1" applyBorder="1" applyAlignment="1">
      <alignment vertical="top" wrapText="1"/>
    </xf>
    <xf numFmtId="0" fontId="7" fillId="0" borderId="0" xfId="0" applyFont="1" applyFill="1"/>
    <xf numFmtId="0" fontId="30" fillId="0" borderId="5" xfId="0" applyFont="1" applyFill="1" applyBorder="1" applyAlignment="1">
      <alignment horizontal="center" vertical="top" wrapText="1"/>
    </xf>
    <xf numFmtId="0" fontId="26" fillId="0" borderId="5" xfId="0" applyFont="1" applyBorder="1" applyAlignment="1">
      <alignment horizontal="center" vertical="top" wrapText="1"/>
    </xf>
    <xf numFmtId="0" fontId="30" fillId="0" borderId="6" xfId="0" applyFont="1" applyFill="1" applyBorder="1" applyAlignment="1">
      <alignment horizontal="center" vertical="top" wrapText="1"/>
    </xf>
    <xf numFmtId="0" fontId="26" fillId="0" borderId="6" xfId="0" applyFont="1" applyBorder="1" applyAlignment="1">
      <alignment horizontal="center" vertical="top" wrapText="1"/>
    </xf>
    <xf numFmtId="0" fontId="26" fillId="0" borderId="12" xfId="0" applyFont="1" applyBorder="1" applyAlignment="1">
      <alignment horizontal="center" vertical="top" wrapText="1"/>
    </xf>
    <xf numFmtId="0" fontId="31" fillId="0" borderId="6" xfId="0" applyFont="1" applyFill="1" applyBorder="1" applyAlignment="1">
      <alignment vertical="top" wrapText="1"/>
    </xf>
    <xf numFmtId="0" fontId="7" fillId="0" borderId="0" xfId="0" applyFont="1" applyAlignment="1">
      <alignment vertical="top" wrapText="1"/>
    </xf>
    <xf numFmtId="0" fontId="7" fillId="0" borderId="0" xfId="0" applyFont="1" applyBorder="1"/>
    <xf numFmtId="0" fontId="7" fillId="6" borderId="6" xfId="0" applyFont="1" applyFill="1" applyBorder="1"/>
    <xf numFmtId="0" fontId="7" fillId="6" borderId="6" xfId="0" applyFont="1" applyFill="1" applyBorder="1" applyAlignment="1">
      <alignment horizontal="center" vertical="top" wrapText="1"/>
    </xf>
    <xf numFmtId="0" fontId="7" fillId="6" borderId="6" xfId="0" applyFont="1" applyFill="1" applyBorder="1" applyAlignment="1">
      <alignment horizontal="left" vertical="top"/>
    </xf>
    <xf numFmtId="0" fontId="7" fillId="6" borderId="6" xfId="0" applyFont="1" applyFill="1" applyBorder="1" applyAlignment="1">
      <alignment vertical="top" wrapText="1"/>
    </xf>
    <xf numFmtId="0" fontId="31" fillId="6" borderId="6" xfId="0" applyFont="1" applyFill="1" applyBorder="1" applyAlignment="1">
      <alignment vertical="top" wrapText="1"/>
    </xf>
    <xf numFmtId="0" fontId="7" fillId="6" borderId="6" xfId="0" applyFont="1" applyFill="1" applyBorder="1" applyAlignment="1">
      <alignment horizontal="left" vertical="top" wrapText="1"/>
    </xf>
    <xf numFmtId="0" fontId="7" fillId="6" borderId="15" xfId="0" applyFont="1" applyFill="1" applyBorder="1"/>
    <xf numFmtId="0" fontId="26" fillId="0" borderId="6" xfId="0" applyFont="1" applyFill="1" applyBorder="1" applyAlignment="1">
      <alignment horizontal="center" vertical="top" wrapText="1"/>
    </xf>
    <xf numFmtId="0" fontId="7" fillId="0" borderId="6" xfId="0" applyFont="1" applyFill="1" applyBorder="1" applyAlignment="1">
      <alignment horizontal="left" vertical="top" wrapText="1"/>
    </xf>
    <xf numFmtId="0" fontId="7" fillId="0" borderId="0" xfId="0" applyFont="1" applyFill="1" applyBorder="1" applyAlignment="1">
      <alignment vertical="top" wrapText="1"/>
    </xf>
    <xf numFmtId="0" fontId="32" fillId="0" borderId="6" xfId="0" applyFont="1" applyFill="1" applyBorder="1" applyAlignment="1">
      <alignment horizontal="center" vertical="top" wrapText="1"/>
    </xf>
    <xf numFmtId="0" fontId="32" fillId="0" borderId="6" xfId="0" applyFont="1" applyFill="1" applyBorder="1" applyAlignment="1">
      <alignment vertical="top" wrapText="1"/>
    </xf>
    <xf numFmtId="0" fontId="33" fillId="0" borderId="6" xfId="0" applyFont="1" applyFill="1" applyBorder="1" applyAlignment="1">
      <alignment horizontal="center" vertical="top" wrapText="1"/>
    </xf>
    <xf numFmtId="0" fontId="32" fillId="0" borderId="6" xfId="0" applyFont="1" applyFill="1" applyBorder="1" applyAlignment="1">
      <alignment horizontal="left" vertical="top" wrapText="1"/>
    </xf>
    <xf numFmtId="0" fontId="32" fillId="0" borderId="0" xfId="0" applyFont="1" applyFill="1" applyBorder="1" applyAlignment="1">
      <alignment vertical="top" wrapText="1"/>
    </xf>
    <xf numFmtId="0" fontId="32" fillId="0" borderId="0" xfId="0" applyFont="1" applyFill="1" applyAlignment="1">
      <alignment vertical="top" wrapText="1"/>
    </xf>
    <xf numFmtId="0" fontId="34" fillId="0" borderId="6" xfId="0" applyFont="1" applyFill="1" applyBorder="1" applyAlignment="1">
      <alignment horizontal="left" vertical="top" wrapText="1"/>
    </xf>
    <xf numFmtId="0" fontId="7" fillId="0" borderId="6" xfId="0" applyFont="1" applyFill="1" applyBorder="1" applyAlignment="1">
      <alignment horizontal="center" vertical="top"/>
    </xf>
    <xf numFmtId="0" fontId="34" fillId="0" borderId="6" xfId="0" applyFont="1" applyFill="1" applyBorder="1" applyAlignment="1">
      <alignment vertical="top" wrapText="1"/>
    </xf>
    <xf numFmtId="0" fontId="7" fillId="0" borderId="6" xfId="0" applyFont="1" applyFill="1" applyBorder="1" applyAlignment="1">
      <alignment horizontal="left" vertical="top"/>
    </xf>
    <xf numFmtId="0" fontId="20" fillId="0" borderId="6" xfId="0" applyFont="1" applyFill="1" applyBorder="1" applyAlignment="1">
      <alignment horizontal="center" vertical="top" wrapText="1"/>
    </xf>
    <xf numFmtId="0" fontId="30" fillId="0" borderId="0" xfId="0" applyFont="1" applyFill="1" applyBorder="1" applyAlignment="1">
      <alignment horizontal="center" vertical="top" wrapText="1"/>
    </xf>
    <xf numFmtId="0" fontId="22" fillId="0" borderId="0" xfId="0" applyFont="1" applyFill="1" applyBorder="1" applyAlignment="1">
      <alignment horizontal="center" vertical="top" wrapText="1"/>
    </xf>
    <xf numFmtId="0" fontId="20" fillId="0" borderId="0" xfId="0" applyFont="1" applyFill="1" applyBorder="1" applyAlignment="1">
      <alignment horizontal="center" vertical="top" wrapText="1"/>
    </xf>
    <xf numFmtId="0" fontId="22" fillId="0" borderId="0" xfId="0" applyFont="1" applyFill="1" applyBorder="1" applyAlignment="1">
      <alignment horizontal="left" vertical="top" wrapText="1"/>
    </xf>
    <xf numFmtId="0" fontId="7" fillId="0" borderId="0" xfId="0" applyFont="1" applyFill="1" applyBorder="1" applyAlignment="1">
      <alignment horizontal="left" vertical="top" wrapText="1"/>
    </xf>
    <xf numFmtId="0" fontId="26" fillId="0" borderId="0" xfId="0" applyFont="1" applyFill="1" applyBorder="1" applyAlignment="1">
      <alignment horizontal="center" vertical="top" wrapText="1"/>
    </xf>
    <xf numFmtId="0" fontId="31" fillId="0" borderId="0" xfId="0" applyFont="1" applyFill="1" applyBorder="1" applyAlignment="1">
      <alignment vertical="top" wrapText="1"/>
    </xf>
    <xf numFmtId="44" fontId="22" fillId="0" borderId="0" xfId="0" applyNumberFormat="1" applyFont="1" applyFill="1" applyBorder="1" applyAlignment="1">
      <alignment vertical="top" wrapText="1"/>
    </xf>
    <xf numFmtId="0" fontId="22" fillId="0" borderId="0" xfId="0" applyFont="1" applyFill="1" applyBorder="1" applyAlignment="1">
      <alignment vertical="top" wrapText="1"/>
    </xf>
    <xf numFmtId="0" fontId="22" fillId="0" borderId="0" xfId="0" applyFont="1" applyFill="1" applyBorder="1" applyAlignment="1">
      <alignment wrapText="1"/>
    </xf>
    <xf numFmtId="0" fontId="7" fillId="0" borderId="0" xfId="0" applyNumberFormat="1" applyFont="1" applyFill="1" applyBorder="1" applyAlignment="1">
      <alignment horizontal="left" vertical="top" wrapText="1"/>
    </xf>
    <xf numFmtId="0" fontId="7" fillId="0" borderId="0" xfId="0" applyFont="1" applyBorder="1" applyAlignment="1">
      <alignment horizontal="left" vertical="top" wrapText="1"/>
    </xf>
    <xf numFmtId="0" fontId="7" fillId="0" borderId="6" xfId="0" applyFont="1" applyBorder="1" applyAlignment="1">
      <alignment wrapText="1"/>
    </xf>
    <xf numFmtId="2" fontId="7" fillId="0" borderId="6" xfId="0" applyNumberFormat="1" applyFont="1" applyFill="1" applyBorder="1" applyAlignment="1">
      <alignment vertical="top" wrapText="1"/>
    </xf>
    <xf numFmtId="0" fontId="35" fillId="0" borderId="6" xfId="0" applyFont="1" applyFill="1" applyBorder="1" applyAlignment="1">
      <alignment horizontal="left" vertical="top" wrapText="1"/>
    </xf>
    <xf numFmtId="0" fontId="21" fillId="6" borderId="0" xfId="0" applyFont="1" applyFill="1" applyAlignment="1">
      <alignment vertical="top" wrapText="1"/>
    </xf>
    <xf numFmtId="0" fontId="7" fillId="6" borderId="0" xfId="0" applyFont="1" applyFill="1" applyAlignment="1">
      <alignment wrapText="1"/>
    </xf>
    <xf numFmtId="0" fontId="26" fillId="0" borderId="0" xfId="0" applyFont="1"/>
    <xf numFmtId="0" fontId="20" fillId="9" borderId="21" xfId="0" applyFont="1" applyFill="1" applyBorder="1" applyAlignment="1">
      <alignment horizontal="center" vertical="top" wrapText="1"/>
    </xf>
    <xf numFmtId="0" fontId="7" fillId="0" borderId="6" xfId="0" applyFont="1" applyBorder="1" applyAlignment="1">
      <alignment horizontal="center" vertical="center" wrapText="1"/>
    </xf>
    <xf numFmtId="0" fontId="26" fillId="0" borderId="6" xfId="0" applyFont="1" applyFill="1" applyBorder="1" applyAlignment="1">
      <alignment horizontal="center" vertical="center" wrapText="1"/>
    </xf>
    <xf numFmtId="0" fontId="7" fillId="0" borderId="6" xfId="0" applyFont="1" applyFill="1" applyBorder="1" applyAlignment="1"/>
    <xf numFmtId="0" fontId="7" fillId="0" borderId="6" xfId="0" applyFont="1" applyFill="1" applyBorder="1" applyAlignment="1">
      <alignment horizontal="center" vertical="center" wrapText="1"/>
    </xf>
    <xf numFmtId="0" fontId="21" fillId="0" borderId="6" xfId="0" applyFont="1" applyBorder="1" applyAlignment="1">
      <alignment vertical="top" wrapText="1"/>
    </xf>
    <xf numFmtId="0" fontId="7" fillId="0" borderId="6" xfId="0" applyFont="1" applyFill="1" applyBorder="1" applyAlignment="1">
      <alignment wrapText="1"/>
    </xf>
    <xf numFmtId="0" fontId="7" fillId="0" borderId="0" xfId="0" applyFont="1" applyAlignment="1">
      <alignment horizontal="left" vertical="top"/>
    </xf>
    <xf numFmtId="0" fontId="7" fillId="0" borderId="0" xfId="0" applyFont="1" applyAlignment="1">
      <alignment horizontal="center" vertical="top"/>
    </xf>
    <xf numFmtId="0" fontId="43" fillId="0" borderId="0" xfId="0" applyFont="1" applyAlignment="1">
      <alignment horizontal="left" readingOrder="1"/>
    </xf>
    <xf numFmtId="0" fontId="26" fillId="0" borderId="6" xfId="0" applyFont="1" applyBorder="1" applyAlignment="1">
      <alignment vertical="top" wrapText="1"/>
    </xf>
    <xf numFmtId="0" fontId="7" fillId="0" borderId="6" xfId="0" applyFont="1" applyBorder="1" applyAlignment="1">
      <alignment horizontal="center" vertical="top" wrapText="1"/>
    </xf>
    <xf numFmtId="0" fontId="20" fillId="9" borderId="22" xfId="0" applyFont="1" applyFill="1" applyBorder="1" applyAlignment="1">
      <alignment horizontal="center" vertical="top" wrapText="1"/>
    </xf>
    <xf numFmtId="0" fontId="28" fillId="9" borderId="11" xfId="0" applyFont="1" applyFill="1" applyBorder="1" applyAlignment="1">
      <alignment horizontal="center" vertical="top" wrapText="1"/>
    </xf>
    <xf numFmtId="0" fontId="20" fillId="10" borderId="5" xfId="0" applyFont="1" applyFill="1" applyBorder="1" applyAlignment="1">
      <alignment horizontal="center" vertical="top" wrapText="1"/>
    </xf>
    <xf numFmtId="0" fontId="7" fillId="0" borderId="5" xfId="0" applyFont="1" applyFill="1" applyBorder="1" applyAlignment="1">
      <alignment horizontal="left" vertical="top" wrapText="1"/>
    </xf>
    <xf numFmtId="0" fontId="7" fillId="11" borderId="0" xfId="0" applyFont="1" applyFill="1" applyBorder="1" applyAlignment="1">
      <alignment vertical="top" wrapText="1"/>
    </xf>
    <xf numFmtId="0" fontId="26" fillId="11" borderId="0" xfId="0" applyFont="1" applyFill="1" applyBorder="1" applyAlignment="1">
      <alignment horizontal="center" vertical="top" wrapText="1"/>
    </xf>
    <xf numFmtId="0" fontId="7" fillId="11" borderId="0" xfId="0" applyFont="1" applyFill="1" applyBorder="1"/>
    <xf numFmtId="0" fontId="7" fillId="0" borderId="12" xfId="0" applyFont="1" applyBorder="1" applyAlignment="1">
      <alignment wrapText="1"/>
    </xf>
    <xf numFmtId="0" fontId="7" fillId="0" borderId="12" xfId="0" applyFont="1" applyFill="1" applyBorder="1" applyAlignment="1">
      <alignment horizontal="left" vertical="top" wrapText="1"/>
    </xf>
    <xf numFmtId="0" fontId="7" fillId="0" borderId="12" xfId="0" applyFont="1" applyBorder="1"/>
    <xf numFmtId="0" fontId="7" fillId="0" borderId="5" xfId="0" applyFont="1" applyBorder="1" applyAlignment="1">
      <alignment wrapText="1"/>
    </xf>
    <xf numFmtId="0" fontId="7" fillId="12" borderId="0" xfId="0" applyFont="1" applyFill="1" applyBorder="1" applyAlignment="1">
      <alignment wrapText="1"/>
    </xf>
    <xf numFmtId="0" fontId="7" fillId="12" borderId="0" xfId="0" applyFont="1" applyFill="1" applyBorder="1"/>
    <xf numFmtId="0" fontId="7" fillId="6" borderId="0" xfId="0" applyFont="1" applyFill="1" applyBorder="1" applyAlignment="1">
      <alignment wrapText="1"/>
    </xf>
    <xf numFmtId="0" fontId="7" fillId="13" borderId="0" xfId="0" applyFont="1" applyFill="1" applyAlignment="1">
      <alignment wrapText="1"/>
    </xf>
    <xf numFmtId="0" fontId="7" fillId="13" borderId="14" xfId="0" applyFont="1" applyFill="1" applyBorder="1" applyAlignment="1">
      <alignment wrapText="1"/>
    </xf>
    <xf numFmtId="0" fontId="20" fillId="13" borderId="11" xfId="0" applyFont="1" applyFill="1" applyBorder="1" applyAlignment="1">
      <alignment horizontal="center" vertical="top" wrapText="1"/>
    </xf>
    <xf numFmtId="0" fontId="7" fillId="13" borderId="6" xfId="0" applyFont="1" applyFill="1" applyBorder="1" applyAlignment="1">
      <alignment vertical="top" wrapText="1"/>
    </xf>
    <xf numFmtId="0" fontId="7" fillId="13" borderId="6" xfId="0" applyFont="1" applyFill="1" applyBorder="1" applyAlignment="1">
      <alignment wrapText="1"/>
    </xf>
    <xf numFmtId="0" fontId="7" fillId="13" borderId="12" xfId="0" applyFont="1" applyFill="1" applyBorder="1" applyAlignment="1">
      <alignment wrapText="1"/>
    </xf>
    <xf numFmtId="0" fontId="7" fillId="13" borderId="0" xfId="0" applyFont="1" applyFill="1" applyBorder="1" applyAlignment="1">
      <alignment wrapText="1"/>
    </xf>
    <xf numFmtId="0" fontId="7" fillId="13" borderId="5" xfId="0" applyFont="1" applyFill="1" applyBorder="1" applyAlignment="1">
      <alignment wrapText="1"/>
    </xf>
    <xf numFmtId="0" fontId="7" fillId="13" borderId="0" xfId="0" applyFont="1" applyFill="1"/>
    <xf numFmtId="14" fontId="6" fillId="0" borderId="0" xfId="0" applyNumberFormat="1" applyFont="1" applyAlignment="1">
      <alignment horizontal="right"/>
    </xf>
    <xf numFmtId="22" fontId="6" fillId="0" borderId="0" xfId="0" applyNumberFormat="1" applyFont="1" applyAlignment="1">
      <alignment horizontal="right"/>
    </xf>
    <xf numFmtId="14" fontId="22" fillId="2" borderId="23" xfId="0" applyNumberFormat="1" applyFont="1" applyFill="1" applyBorder="1" applyAlignment="1" applyProtection="1">
      <alignment horizontal="left" vertical="top" wrapText="1"/>
      <protection locked="0"/>
    </xf>
    <xf numFmtId="0" fontId="7" fillId="0" borderId="24" xfId="0" applyFont="1" applyBorder="1" applyAlignment="1">
      <alignment horizontal="left" vertical="top" wrapText="1"/>
    </xf>
    <xf numFmtId="0" fontId="7" fillId="0" borderId="4" xfId="0" applyFont="1" applyBorder="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E6EFF8"/>
      <rgbColor rgb="00FFFFFF"/>
      <rgbColor rgb="00000000"/>
      <rgbColor rgb="0048648C"/>
      <rgbColor rgb="00C9C9CB"/>
      <rgbColor rgb="00A3C2DF"/>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9525</xdr:colOff>
      <xdr:row>27</xdr:row>
      <xdr:rowOff>123825</xdr:rowOff>
    </xdr:from>
    <xdr:to>
      <xdr:col>3</xdr:col>
      <xdr:colOff>352425</xdr:colOff>
      <xdr:row>30</xdr:row>
      <xdr:rowOff>9525</xdr:rowOff>
    </xdr:to>
    <xdr:pic>
      <xdr:nvPicPr>
        <xdr:cNvPr id="2262" name="Picture 2" descr="oracle-logo"/>
        <xdr:cNvPicPr>
          <a:picLocks noChangeAspect="1" noChangeArrowheads="1"/>
        </xdr:cNvPicPr>
      </xdr:nvPicPr>
      <xdr:blipFill>
        <a:blip xmlns:r="http://schemas.openxmlformats.org/officeDocument/2006/relationships" r:embed="rId1" cstate="print"/>
        <a:srcRect/>
        <a:stretch>
          <a:fillRect/>
        </a:stretch>
      </xdr:blipFill>
      <xdr:spPr bwMode="auto">
        <a:xfrm>
          <a:off x="533400" y="8248650"/>
          <a:ext cx="1781175" cy="371475"/>
        </a:xfrm>
        <a:prstGeom prst="rect">
          <a:avLst/>
        </a:prstGeom>
        <a:noFill/>
        <a:ln w="9525">
          <a:noFill/>
          <a:miter lim="800000"/>
          <a:headEnd/>
          <a:tailEnd/>
        </a:ln>
      </xdr:spPr>
    </xdr:pic>
    <xdr:clientData/>
  </xdr:twoCellAnchor>
  <xdr:twoCellAnchor editAs="oneCell">
    <xdr:from>
      <xdr:col>2</xdr:col>
      <xdr:colOff>0</xdr:colOff>
      <xdr:row>8</xdr:row>
      <xdr:rowOff>0</xdr:rowOff>
    </xdr:from>
    <xdr:to>
      <xdr:col>3</xdr:col>
      <xdr:colOff>3019425</xdr:colOff>
      <xdr:row>8</xdr:row>
      <xdr:rowOff>285750</xdr:rowOff>
    </xdr:to>
    <xdr:pic>
      <xdr:nvPicPr>
        <xdr:cNvPr id="2263" name="Picture 3"/>
        <xdr:cNvPicPr>
          <a:picLocks noChangeAspect="1" noChangeArrowheads="1"/>
        </xdr:cNvPicPr>
      </xdr:nvPicPr>
      <xdr:blipFill>
        <a:blip xmlns:r="http://schemas.openxmlformats.org/officeDocument/2006/relationships" r:embed="rId2" cstate="print"/>
        <a:srcRect/>
        <a:stretch>
          <a:fillRect/>
        </a:stretch>
      </xdr:blipFill>
      <xdr:spPr bwMode="auto">
        <a:xfrm>
          <a:off x="523875" y="1295400"/>
          <a:ext cx="4457700" cy="285750"/>
        </a:xfrm>
        <a:prstGeom prst="rect">
          <a:avLst/>
        </a:prstGeom>
        <a:noFill/>
        <a:ln w="1">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9525</xdr:colOff>
      <xdr:row>0</xdr:row>
      <xdr:rowOff>171450</xdr:rowOff>
    </xdr:from>
    <xdr:to>
      <xdr:col>5</xdr:col>
      <xdr:colOff>2562225</xdr:colOff>
      <xdr:row>0</xdr:row>
      <xdr:rowOff>1323975</xdr:rowOff>
    </xdr:to>
    <xdr:sp macro="" textlink="">
      <xdr:nvSpPr>
        <xdr:cNvPr id="2" name="TextBox 1"/>
        <xdr:cNvSpPr txBox="1">
          <a:spLocks noChangeArrowheads="1"/>
        </xdr:cNvSpPr>
      </xdr:nvSpPr>
      <xdr:spPr bwMode="auto">
        <a:xfrm>
          <a:off x="9525" y="171450"/>
          <a:ext cx="9315450" cy="1152525"/>
        </a:xfrm>
        <a:prstGeom prst="rect">
          <a:avLst/>
        </a:prstGeom>
        <a:solidFill>
          <a:srgbClr val="FFFFFF"/>
        </a:solidFill>
        <a:ln w="9525">
          <a:solidFill>
            <a:srgbClr val="BCBCBC"/>
          </a:solidFill>
          <a:miter lim="800000"/>
          <a:headEnd/>
          <a:tailEnd/>
        </a:ln>
      </xdr:spPr>
      <xdr:txBody>
        <a:bodyPr vertOverflow="clip" wrap="square" lIns="36576" tIns="32004" rIns="0" bIns="0" anchor="t" upright="1"/>
        <a:lstStyle/>
        <a:p>
          <a:pPr algn="l" rtl="0">
            <a:defRPr sz="1000"/>
          </a:pPr>
          <a:r>
            <a:rPr lang="en-US" sz="1000" b="0" i="0" u="none" strike="noStrike" baseline="0">
              <a:solidFill>
                <a:srgbClr val="000000"/>
              </a:solidFill>
              <a:latin typeface="Arial"/>
              <a:cs typeface="Arial"/>
            </a:rPr>
            <a:t>This worksheet is intended to document the requirements specified in the original RFP, Statement of work, or Contract in a tabular format, which is reviewed and agreed upon by the project management and the project sponsors.  The Project Management plan (PMP) should reference this worksheet.  This worksheet enables traceability back to the original SOW, as requirements become further quantified/qualified.</a:t>
          </a:r>
        </a:p>
        <a:p>
          <a:pPr algn="l" rtl="0">
            <a:defRPr sz="1000"/>
          </a:pPr>
          <a:r>
            <a:rPr lang="en-US" sz="1000" b="0" i="1" u="none" strike="noStrike" baseline="0">
              <a:solidFill>
                <a:srgbClr val="48648C"/>
              </a:solidFill>
              <a:latin typeface="Arial"/>
              <a:cs typeface="Arial"/>
            </a:rPr>
            <a:t>Note - Assumptions defined in RFP, SOW and/or associated documentation are documented as original requirements in this worksheet with ownership appropriately defined.  Early in the project, these requirements may not yet be prioritized by increment, but are used to provide traceability to other work products that address them.  When Requirements are added to the Original Requirements sheet  they should have a Source other than the Statement of Work (i.e. Meeting Minutes, CR, etc. with the corresponding dates).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718444</xdr:colOff>
      <xdr:row>1</xdr:row>
      <xdr:rowOff>866</xdr:rowOff>
    </xdr:to>
    <xdr:sp macro="" textlink="">
      <xdr:nvSpPr>
        <xdr:cNvPr id="2" name="TextBox 1"/>
        <xdr:cNvSpPr txBox="1">
          <a:spLocks noChangeArrowheads="1"/>
        </xdr:cNvSpPr>
      </xdr:nvSpPr>
      <xdr:spPr bwMode="auto">
        <a:xfrm>
          <a:off x="0" y="0"/>
          <a:ext cx="6338194" cy="391391"/>
        </a:xfrm>
        <a:prstGeom prst="rect">
          <a:avLst/>
        </a:prstGeom>
        <a:solidFill>
          <a:srgbClr val="FFFFFF"/>
        </a:solidFill>
        <a:ln w="9525">
          <a:solidFill>
            <a:srgbClr val="BCBCBC"/>
          </a:solidFill>
          <a:miter lim="800000"/>
          <a:headEnd/>
          <a:tailEnd/>
        </a:ln>
      </xdr:spPr>
      <xdr:txBody>
        <a:bodyPr vertOverflow="clip" wrap="square" lIns="27432" tIns="27432" rIns="0" bIns="0" anchor="t" upright="1"/>
        <a:lstStyle/>
        <a:p>
          <a:pPr algn="l" rtl="0">
            <a:defRPr sz="1000"/>
          </a:pPr>
          <a:r>
            <a:rPr lang="en-US" sz="1000" b="0" i="0" u="none" strike="noStrike" baseline="0">
              <a:solidFill>
                <a:srgbClr val="000000"/>
              </a:solidFill>
              <a:latin typeface="Arial" pitchFamily="34" charset="0"/>
              <a:cs typeface="Arial" pitchFamily="34" charset="0"/>
            </a:rPr>
            <a:t>Use this sheet to document confirmed priorities and map requirements to use cases and COTS functionality.  Optionally, cells may color-coded to indicate the system which will support/perform the high level requirement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38100</xdr:colOff>
      <xdr:row>0</xdr:row>
      <xdr:rowOff>19050</xdr:rowOff>
    </xdr:from>
    <xdr:to>
      <xdr:col>15</xdr:col>
      <xdr:colOff>0</xdr:colOff>
      <xdr:row>0</xdr:row>
      <xdr:rowOff>304800</xdr:rowOff>
    </xdr:to>
    <xdr:sp macro="" textlink="">
      <xdr:nvSpPr>
        <xdr:cNvPr id="2" name="TextBox 1"/>
        <xdr:cNvSpPr txBox="1">
          <a:spLocks noChangeArrowheads="1"/>
        </xdr:cNvSpPr>
      </xdr:nvSpPr>
      <xdr:spPr bwMode="auto">
        <a:xfrm>
          <a:off x="38100" y="19050"/>
          <a:ext cx="12477750" cy="285750"/>
        </a:xfrm>
        <a:prstGeom prst="rect">
          <a:avLst/>
        </a:prstGeom>
        <a:solidFill>
          <a:srgbClr val="FFFFFF"/>
        </a:solidFill>
        <a:ln w="9525">
          <a:solidFill>
            <a:srgbClr val="BCBCBC"/>
          </a:solidFill>
          <a:miter lim="800000"/>
          <a:headEnd/>
          <a:tailEnd/>
        </a:ln>
      </xdr:spPr>
      <xdr:txBody>
        <a:bodyPr vertOverflow="clip" wrap="square" lIns="36576" tIns="32004" rIns="0" bIns="0" anchor="t" upright="1"/>
        <a:lstStyle/>
        <a:p>
          <a:pPr algn="l" rtl="0">
            <a:defRPr sz="1000"/>
          </a:pPr>
          <a:r>
            <a:rPr lang="en-US" sz="1000" b="0" i="0" u="none" strike="noStrike" baseline="0">
              <a:solidFill>
                <a:srgbClr val="000000"/>
              </a:solidFill>
              <a:latin typeface="Arial" pitchFamily="34" charset="0"/>
              <a:cs typeface="Arial" pitchFamily="34" charset="0"/>
            </a:rPr>
            <a:t>This worksheet is intended to be used to capture a catalog of the Use Cases, this list is taken from the RA.023 Use Case Model.</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19050</xdr:rowOff>
    </xdr:from>
    <xdr:to>
      <xdr:col>11</xdr:col>
      <xdr:colOff>0</xdr:colOff>
      <xdr:row>1</xdr:row>
      <xdr:rowOff>9525</xdr:rowOff>
    </xdr:to>
    <xdr:sp macro="" textlink="">
      <xdr:nvSpPr>
        <xdr:cNvPr id="2" name="TextBox 1"/>
        <xdr:cNvSpPr txBox="1">
          <a:spLocks noChangeArrowheads="1"/>
        </xdr:cNvSpPr>
      </xdr:nvSpPr>
      <xdr:spPr bwMode="auto">
        <a:xfrm>
          <a:off x="0" y="19050"/>
          <a:ext cx="11220450" cy="2209800"/>
        </a:xfrm>
        <a:prstGeom prst="rect">
          <a:avLst/>
        </a:prstGeom>
        <a:solidFill>
          <a:srgbClr val="FFFFFF"/>
        </a:solidFill>
        <a:ln w="9525">
          <a:solidFill>
            <a:srgbClr val="BCBCBC"/>
          </a:solidFill>
          <a:miter lim="800000"/>
          <a:headEnd/>
          <a:tailEnd/>
        </a:ln>
      </xdr:spPr>
      <xdr:txBody>
        <a:bodyPr vertOverflow="clip" wrap="square" lIns="36576" tIns="32004" rIns="0" bIns="0" anchor="t" upright="1"/>
        <a:lstStyle/>
        <a:p>
          <a:pPr algn="l" rtl="0">
            <a:defRPr sz="1000"/>
          </a:pPr>
          <a:r>
            <a:rPr lang="en-US" sz="1000" b="0" i="0" u="none" strike="noStrike" baseline="0">
              <a:solidFill>
                <a:srgbClr val="000000"/>
              </a:solidFill>
              <a:latin typeface="Arial"/>
              <a:cs typeface="Arial"/>
            </a:rPr>
            <a:t>This worksheet is used to capture details associated to supplemental requirements such as;  supplementary, non-functional and Quality of Service requirements are not commonly captured by use cases and generally revolve around usability, reliability, operability, safety, compatibility and transferability, performance and supportability, legal and regulatory requirements, application standards, support, interface requirements etc. </a:t>
          </a:r>
        </a:p>
        <a:p>
          <a:pPr algn="l" rtl="0">
            <a:defRPr sz="1000"/>
          </a:pPr>
          <a:endParaRPr lang="en-US" sz="1100" b="0" i="0" u="none" strike="noStrike" baseline="0">
            <a:solidFill>
              <a:srgbClr val="000000"/>
            </a:solidFill>
            <a:latin typeface="Arial"/>
            <a:cs typeface="Arial"/>
          </a:endParaRPr>
        </a:p>
        <a:p>
          <a:pPr algn="l" rtl="0">
            <a:defRPr sz="1000"/>
          </a:pPr>
          <a:r>
            <a:rPr lang="en-US" sz="1000" b="0" i="0" u="none" strike="noStrike" baseline="0">
              <a:solidFill>
                <a:srgbClr val="48648C"/>
              </a:solidFill>
              <a:latin typeface="Arial"/>
              <a:cs typeface="Arial"/>
            </a:rPr>
            <a:t>These requirements are further detailed;</a:t>
          </a:r>
        </a:p>
        <a:p>
          <a:pPr algn="l" rtl="0">
            <a:defRPr sz="1000"/>
          </a:pPr>
          <a:r>
            <a:rPr lang="en-US" sz="1000" b="0" i="0" u="none" strike="noStrike" baseline="0">
              <a:solidFill>
                <a:srgbClr val="48648C"/>
              </a:solidFill>
              <a:latin typeface="Arial"/>
              <a:cs typeface="Arial"/>
            </a:rPr>
            <a:t>Audit, globalization and localization, legal requirements are documented in task RD.070 Determine Audit and Control Requirements</a:t>
          </a:r>
        </a:p>
        <a:p>
          <a:pPr algn="l" rtl="0">
            <a:defRPr sz="1000"/>
          </a:pPr>
          <a:r>
            <a:rPr lang="en-US" sz="1000" b="0" i="0" u="none" strike="noStrike" baseline="0">
              <a:solidFill>
                <a:srgbClr val="48648C"/>
              </a:solidFill>
              <a:latin typeface="Arial"/>
              <a:cs typeface="Arial"/>
            </a:rPr>
            <a:t>User Interface Standards requirements are documented using task IM.005 Develop Conceptual Prototype</a:t>
          </a:r>
        </a:p>
        <a:p>
          <a:pPr algn="l" rtl="0">
            <a:defRPr sz="1000"/>
          </a:pPr>
          <a:r>
            <a:rPr lang="en-US" sz="1000" b="0" i="0" u="none" strike="noStrike" baseline="0">
              <a:solidFill>
                <a:srgbClr val="48648C"/>
              </a:solidFill>
              <a:latin typeface="Arial"/>
              <a:cs typeface="Arial"/>
            </a:rPr>
            <a:t>Architectural Requirements are documented in task TA.020 Define Architecture Requirements and Strategy</a:t>
          </a:r>
        </a:p>
        <a:p>
          <a:pPr algn="l" rtl="0">
            <a:defRPr sz="1000"/>
          </a:pPr>
          <a:r>
            <a:rPr lang="en-US" sz="1000" b="0" i="0" u="none" strike="noStrike" baseline="0">
              <a:solidFill>
                <a:srgbClr val="48648C"/>
              </a:solidFill>
              <a:latin typeface="Arial"/>
              <a:cs typeface="Arial"/>
            </a:rPr>
            <a:t>Documentation Requirements are documented in task DO.010 Define Documentation Requirements and Strategy </a:t>
          </a:r>
        </a:p>
        <a:p>
          <a:pPr algn="l" rtl="0">
            <a:defRPr sz="1000"/>
          </a:pPr>
          <a:r>
            <a:rPr lang="en-US" sz="1000" b="0" i="0" u="none" strike="noStrike" baseline="0">
              <a:solidFill>
                <a:srgbClr val="48648C"/>
              </a:solidFill>
              <a:latin typeface="Arial"/>
              <a:cs typeface="Arial"/>
            </a:rPr>
            <a:t>Performance Requirements are documented in task PT.020 Define Performance Management Requirements and Strategy</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2</xdr:row>
      <xdr:rowOff>0</xdr:rowOff>
    </xdr:from>
    <xdr:to>
      <xdr:col>5</xdr:col>
      <xdr:colOff>733424</xdr:colOff>
      <xdr:row>3</xdr:row>
      <xdr:rowOff>0</xdr:rowOff>
    </xdr:to>
    <xdr:sp macro="" textlink="">
      <xdr:nvSpPr>
        <xdr:cNvPr id="2" name="TextBox 1"/>
        <xdr:cNvSpPr txBox="1">
          <a:spLocks noChangeArrowheads="1"/>
        </xdr:cNvSpPr>
      </xdr:nvSpPr>
      <xdr:spPr bwMode="auto">
        <a:xfrm>
          <a:off x="0" y="0"/>
          <a:ext cx="7115174" cy="409575"/>
        </a:xfrm>
        <a:prstGeom prst="rect">
          <a:avLst/>
        </a:prstGeom>
        <a:solidFill>
          <a:srgbClr val="FFFFFF"/>
        </a:solidFill>
        <a:ln w="9525">
          <a:solidFill>
            <a:srgbClr val="BCBCBC"/>
          </a:solidFill>
          <a:miter lim="800000"/>
          <a:headEnd/>
          <a:tailEnd/>
        </a:ln>
      </xdr:spPr>
      <xdr:txBody>
        <a:bodyPr vertOverflow="clip" wrap="square" lIns="27432" tIns="32004" rIns="0" bIns="0" anchor="t" upright="1"/>
        <a:lstStyle/>
        <a:p>
          <a:pPr algn="l" rtl="0">
            <a:defRPr sz="1000"/>
          </a:pPr>
          <a:r>
            <a:rPr lang="en-US" sz="1000" b="0" i="0" u="none" strike="noStrike" baseline="0">
              <a:solidFill>
                <a:srgbClr val="000000"/>
              </a:solidFill>
              <a:latin typeface="Arial" pitchFamily="34" charset="0"/>
              <a:cs typeface="Arial" pitchFamily="34" charset="0"/>
            </a:rPr>
            <a:t>Test results may be recorded and traced back to requirements on the MoSCoW as a result of the following:</a:t>
          </a:r>
        </a:p>
        <a:p>
          <a:pPr algn="l" rtl="0">
            <a:defRPr sz="1000"/>
          </a:pPr>
          <a:r>
            <a:rPr lang="en-US" sz="1000" b="0" i="0" u="none" strike="noStrike" baseline="0">
              <a:solidFill>
                <a:srgbClr val="000000"/>
              </a:solidFill>
              <a:latin typeface="Arial" pitchFamily="34" charset="0"/>
              <a:cs typeface="Arial" pitchFamily="34" charset="0"/>
            </a:rPr>
            <a:t>TE.030 Unit Test</a:t>
          </a:r>
        </a:p>
        <a:p>
          <a:pPr algn="l" rtl="0">
            <a:defRPr sz="1000"/>
          </a:pPr>
          <a:r>
            <a:rPr lang="en-US" sz="1000" b="0" i="0" u="none" strike="noStrike" baseline="0">
              <a:solidFill>
                <a:srgbClr val="000000"/>
              </a:solidFill>
              <a:latin typeface="Arial" pitchFamily="34" charset="0"/>
              <a:cs typeface="Arial" pitchFamily="34" charset="0"/>
            </a:rPr>
            <a:t>TE.040 Integration Test Results</a:t>
          </a:r>
        </a:p>
        <a:p>
          <a:pPr algn="l" rtl="0">
            <a:defRPr sz="1000"/>
          </a:pPr>
          <a:r>
            <a:rPr lang="en-US" sz="1000" b="0" i="0" u="none" strike="noStrike" baseline="0">
              <a:solidFill>
                <a:srgbClr val="000000"/>
              </a:solidFill>
              <a:latin typeface="Arial" pitchFamily="34" charset="0"/>
              <a:cs typeface="Arial" pitchFamily="34" charset="0"/>
            </a:rPr>
            <a:t>TE.070 System Test Results</a:t>
          </a:r>
        </a:p>
        <a:p>
          <a:pPr algn="l" rtl="0">
            <a:defRPr sz="1000"/>
          </a:pPr>
          <a:r>
            <a:rPr lang="en-US" sz="1000" b="0" i="0" u="none" strike="noStrike" baseline="0">
              <a:solidFill>
                <a:srgbClr val="000000"/>
              </a:solidFill>
              <a:latin typeface="Arial" pitchFamily="34" charset="0"/>
              <a:cs typeface="Arial" pitchFamily="34" charset="0"/>
            </a:rPr>
            <a:t>TE.100 Systems Integration Test Results</a:t>
          </a:r>
        </a:p>
        <a:p>
          <a:pPr algn="l" rtl="0">
            <a:defRPr sz="1000"/>
          </a:pPr>
          <a:r>
            <a:rPr lang="en-US" sz="1000" b="0" i="0" u="none" strike="noStrike" baseline="0">
              <a:solidFill>
                <a:srgbClr val="000000"/>
              </a:solidFill>
              <a:latin typeface="Arial" pitchFamily="34" charset="0"/>
              <a:cs typeface="Arial" pitchFamily="34" charset="0"/>
            </a:rPr>
            <a:t>TE.120 Acceptance Test Results</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9525</xdr:rowOff>
    </xdr:from>
    <xdr:to>
      <xdr:col>6</xdr:col>
      <xdr:colOff>9525</xdr:colOff>
      <xdr:row>0</xdr:row>
      <xdr:rowOff>990600</xdr:rowOff>
    </xdr:to>
    <xdr:sp macro="" textlink="">
      <xdr:nvSpPr>
        <xdr:cNvPr id="2" name="TextBox 1"/>
        <xdr:cNvSpPr txBox="1">
          <a:spLocks noChangeArrowheads="1"/>
        </xdr:cNvSpPr>
      </xdr:nvSpPr>
      <xdr:spPr bwMode="auto">
        <a:xfrm>
          <a:off x="0" y="9525"/>
          <a:ext cx="3790950" cy="981075"/>
        </a:xfrm>
        <a:prstGeom prst="rect">
          <a:avLst/>
        </a:prstGeom>
        <a:solidFill>
          <a:srgbClr val="FFFFFF"/>
        </a:solidFill>
        <a:ln w="9525">
          <a:solidFill>
            <a:srgbClr val="BCBCBC"/>
          </a:solidFill>
          <a:miter lim="800000"/>
          <a:headEnd/>
          <a:tailEnd/>
        </a:ln>
      </xdr:spPr>
      <xdr:txBody>
        <a:bodyPr vertOverflow="clip" wrap="square" lIns="36576" tIns="32004" rIns="0" bIns="0" anchor="t" upright="1"/>
        <a:lstStyle/>
        <a:p>
          <a:pPr algn="l" rtl="0">
            <a:defRPr sz="1000"/>
          </a:pPr>
          <a:r>
            <a:rPr lang="en-US" sz="1000" b="0" i="0" u="none" strike="noStrike" baseline="0">
              <a:solidFill>
                <a:srgbClr val="000000"/>
              </a:solidFill>
              <a:latin typeface="Arial" pitchFamily="34" charset="0"/>
              <a:cs typeface="Arial" pitchFamily="34" charset="0"/>
            </a:rPr>
            <a:t>This worksheet is for  project reference, and is not intended to replace the Glossary (RA.042) in OUM. The worksheet is a cross reference which identifies  project artifacts where a term has been directly referenced.  This helps with impact analysis in order to determine, which work products may need to be updated if changes to the term are made.</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718444</xdr:colOff>
      <xdr:row>1</xdr:row>
      <xdr:rowOff>866</xdr:rowOff>
    </xdr:to>
    <xdr:sp macro="" textlink="">
      <xdr:nvSpPr>
        <xdr:cNvPr id="2" name="TextBox 1"/>
        <xdr:cNvSpPr txBox="1">
          <a:spLocks noChangeArrowheads="1"/>
        </xdr:cNvSpPr>
      </xdr:nvSpPr>
      <xdr:spPr bwMode="auto">
        <a:xfrm>
          <a:off x="0" y="0"/>
          <a:ext cx="6338194" cy="391391"/>
        </a:xfrm>
        <a:prstGeom prst="rect">
          <a:avLst/>
        </a:prstGeom>
        <a:solidFill>
          <a:srgbClr val="FFFFFF"/>
        </a:solidFill>
        <a:ln w="9525">
          <a:solidFill>
            <a:srgbClr val="BCBCBC"/>
          </a:solidFill>
          <a:miter lim="800000"/>
          <a:headEnd/>
          <a:tailEnd/>
        </a:ln>
      </xdr:spPr>
      <xdr:txBody>
        <a:bodyPr vertOverflow="clip" wrap="square" lIns="27432" tIns="27432" rIns="0" bIns="0" anchor="t" upright="1"/>
        <a:lstStyle/>
        <a:p>
          <a:pPr algn="l" rtl="0">
            <a:defRPr sz="1000"/>
          </a:pPr>
          <a:r>
            <a:rPr lang="en-US" sz="1000" b="0" i="0" u="none" strike="noStrike" baseline="0">
              <a:solidFill>
                <a:srgbClr val="000000"/>
              </a:solidFill>
              <a:latin typeface="Arial" pitchFamily="34" charset="0"/>
              <a:cs typeface="Arial" pitchFamily="34" charset="0"/>
            </a:rPr>
            <a:t>When using a Scrum approach to project management,  use this sheet to document the Product Backlog, as captured in User Stories.</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38100</xdr:colOff>
      <xdr:row>0</xdr:row>
      <xdr:rowOff>19049</xdr:rowOff>
    </xdr:from>
    <xdr:to>
      <xdr:col>14</xdr:col>
      <xdr:colOff>0</xdr:colOff>
      <xdr:row>0</xdr:row>
      <xdr:rowOff>676275</xdr:rowOff>
    </xdr:to>
    <xdr:sp macro="" textlink="">
      <xdr:nvSpPr>
        <xdr:cNvPr id="2" name="TextBox 1"/>
        <xdr:cNvSpPr txBox="1">
          <a:spLocks noChangeArrowheads="1"/>
        </xdr:cNvSpPr>
      </xdr:nvSpPr>
      <xdr:spPr bwMode="auto">
        <a:xfrm>
          <a:off x="38100" y="19049"/>
          <a:ext cx="13039725" cy="657226"/>
        </a:xfrm>
        <a:prstGeom prst="rect">
          <a:avLst/>
        </a:prstGeom>
        <a:solidFill>
          <a:srgbClr val="FFFFFF"/>
        </a:solidFill>
        <a:ln w="9525">
          <a:solidFill>
            <a:srgbClr val="BCBCBC"/>
          </a:solidFill>
          <a:miter lim="800000"/>
          <a:headEnd/>
          <a:tailEnd/>
        </a:ln>
      </xdr:spPr>
      <xdr:txBody>
        <a:bodyPr vertOverflow="clip" wrap="square" lIns="36576" tIns="32004" rIns="0" bIns="0" anchor="t" upright="1"/>
        <a:lstStyle/>
        <a:p>
          <a:pPr algn="l" rtl="0">
            <a:defRPr sz="1000"/>
          </a:pPr>
          <a:r>
            <a:rPr lang="en-US" sz="1000" b="0" i="0" u="none" strike="noStrike" baseline="0">
              <a:solidFill>
                <a:srgbClr val="000000"/>
              </a:solidFill>
              <a:latin typeface="Arial" pitchFamily="34" charset="0"/>
              <a:cs typeface="Arial" pitchFamily="34" charset="0"/>
            </a:rPr>
            <a:t>When using a Scrum approach to project management, this worksheet is intended to capture the detail tasks of User Stories for the current Sprint. </a:t>
          </a:r>
        </a:p>
        <a:p>
          <a:pPr algn="l" rtl="0">
            <a:defRPr sz="1000"/>
          </a:pPr>
          <a:r>
            <a:rPr lang="en-US" sz="1000" b="0" i="0" u="none" strike="noStrike" baseline="0">
              <a:solidFill>
                <a:srgbClr val="000000"/>
              </a:solidFill>
              <a:latin typeface="Arial" pitchFamily="34" charset="0"/>
              <a:cs typeface="Arial" pitchFamily="34" charset="0"/>
            </a:rPr>
            <a:t>Note, this is further detail of the user stories that appear on the Product Backlog sheet.</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8.xml"/><Relationship Id="rId1" Type="http://schemas.openxmlformats.org/officeDocument/2006/relationships/printerSettings" Target="../printerSettings/printerSettings6.bin"/><Relationship Id="rId4" Type="http://schemas.openxmlformats.org/officeDocument/2006/relationships/comments" Target="../comments11.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7.bin"/><Relationship Id="rId4" Type="http://schemas.openxmlformats.org/officeDocument/2006/relationships/comments" Target="../comments12.xml"/></Relationships>
</file>

<file path=xl/worksheets/sheet1.xml><?xml version="1.0" encoding="utf-8"?>
<worksheet xmlns="http://schemas.openxmlformats.org/spreadsheetml/2006/main" xmlns:r="http://schemas.openxmlformats.org/officeDocument/2006/relationships">
  <sheetPr codeName="Sheet2"/>
  <dimension ref="A1"/>
  <sheetViews>
    <sheetView workbookViewId="0"/>
  </sheetViews>
  <sheetFormatPr defaultRowHeight="12.75"/>
  <sheetData/>
  <phoneticPr fontId="0"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sheetPr codeName="Sheet17"/>
  <dimension ref="A1:F32"/>
  <sheetViews>
    <sheetView tabSelected="1" workbookViewId="0"/>
  </sheetViews>
  <sheetFormatPr defaultRowHeight="12.75"/>
  <cols>
    <col min="1" max="1" width="4.140625" customWidth="1"/>
    <col min="2" max="2" width="3.7109375" style="1" customWidth="1"/>
    <col min="3" max="3" width="21.5703125" customWidth="1"/>
    <col min="4" max="4" width="47.7109375" customWidth="1"/>
    <col min="5" max="6" width="5.28515625" customWidth="1"/>
  </cols>
  <sheetData>
    <row r="1" spans="1:6">
      <c r="A1" s="11" t="str">
        <f>Title</f>
        <v>RD.045 MoSCoW List</v>
      </c>
      <c r="B1" s="12"/>
      <c r="C1" s="13"/>
      <c r="D1" s="208" t="str">
        <f>Document_Ref</f>
        <v>&lt;Document Reference Number&gt;</v>
      </c>
      <c r="E1" s="208"/>
      <c r="F1" s="208"/>
    </row>
    <row r="2" spans="1:6">
      <c r="A2" s="11"/>
      <c r="B2" s="12"/>
      <c r="C2" s="13"/>
      <c r="D2" s="13"/>
      <c r="E2" s="207">
        <f ca="1">NOW()</f>
        <v>41915.734152083336</v>
      </c>
      <c r="F2" s="207"/>
    </row>
    <row r="3" spans="1:6">
      <c r="A3" s="15"/>
      <c r="B3" s="16"/>
      <c r="C3" s="17"/>
      <c r="D3" s="17"/>
      <c r="E3" s="17"/>
      <c r="F3" s="17"/>
    </row>
    <row r="4" spans="1:6">
      <c r="A4" s="15"/>
      <c r="B4" s="16"/>
      <c r="C4" s="17"/>
      <c r="D4" s="17"/>
      <c r="E4" s="17"/>
      <c r="F4" s="17"/>
    </row>
    <row r="5" spans="1:6">
      <c r="A5" s="15"/>
      <c r="B5" s="16"/>
      <c r="C5" s="17"/>
      <c r="D5" s="17"/>
      <c r="E5" s="17"/>
      <c r="F5" s="17"/>
    </row>
    <row r="6" spans="1:6">
      <c r="A6" s="15"/>
      <c r="B6" s="16"/>
      <c r="C6" s="17"/>
      <c r="D6" s="17"/>
      <c r="E6" s="17"/>
      <c r="F6" s="17"/>
    </row>
    <row r="7" spans="1:6">
      <c r="A7" s="15"/>
      <c r="B7" s="16"/>
      <c r="C7" s="17"/>
      <c r="D7" s="17"/>
      <c r="E7" s="17"/>
      <c r="F7" s="17"/>
    </row>
    <row r="8" spans="1:6">
      <c r="A8" s="15"/>
      <c r="B8" s="16"/>
      <c r="C8" s="17"/>
      <c r="D8" s="17"/>
      <c r="E8" s="17"/>
      <c r="F8" s="17"/>
    </row>
    <row r="9" spans="1:6" ht="23.25">
      <c r="A9" s="17"/>
      <c r="B9" s="18"/>
      <c r="C9" s="17"/>
      <c r="D9" s="17"/>
      <c r="E9" s="17"/>
      <c r="F9" s="17"/>
    </row>
    <row r="10" spans="1:6" ht="23.25">
      <c r="A10" s="17"/>
      <c r="B10" s="18"/>
      <c r="C10" s="18" t="s">
        <v>11</v>
      </c>
      <c r="D10" s="17"/>
      <c r="E10" s="17"/>
      <c r="F10" s="17"/>
    </row>
    <row r="11" spans="1:6" ht="23.25">
      <c r="A11" s="17"/>
      <c r="B11" s="18"/>
      <c r="C11" s="27"/>
      <c r="D11" s="28" t="s">
        <v>30</v>
      </c>
      <c r="E11" s="17"/>
      <c r="F11" s="17"/>
    </row>
    <row r="12" spans="1:6" ht="23.25">
      <c r="A12" s="17"/>
      <c r="B12" s="18"/>
      <c r="C12" s="18"/>
      <c r="D12" s="17"/>
      <c r="E12" s="17"/>
      <c r="F12" s="17"/>
    </row>
    <row r="13" spans="1:6" ht="23.25">
      <c r="A13" s="17"/>
      <c r="B13" s="18"/>
      <c r="C13" s="29" t="s">
        <v>12</v>
      </c>
      <c r="D13" s="17"/>
      <c r="E13" s="17"/>
      <c r="F13" s="17"/>
    </row>
    <row r="14" spans="1:6" ht="23.25">
      <c r="A14" s="17"/>
      <c r="B14" s="18"/>
      <c r="C14" s="29" t="s">
        <v>13</v>
      </c>
      <c r="D14" s="17"/>
      <c r="E14" s="17"/>
      <c r="F14" s="17"/>
    </row>
    <row r="15" spans="1:6" ht="109.15" customHeight="1">
      <c r="A15" s="17"/>
      <c r="B15" s="18"/>
      <c r="C15" s="17"/>
      <c r="D15" s="17"/>
      <c r="E15" s="17"/>
      <c r="F15" s="17"/>
    </row>
    <row r="16" spans="1:6" ht="17.45" customHeight="1">
      <c r="A16" s="17"/>
      <c r="B16" s="18"/>
      <c r="C16" s="30" t="s">
        <v>14</v>
      </c>
      <c r="D16" s="34" t="str">
        <f>Author</f>
        <v>&lt;Author&gt;</v>
      </c>
      <c r="E16" s="17"/>
      <c r="F16" s="17"/>
    </row>
    <row r="17" spans="1:6" ht="17.45" customHeight="1">
      <c r="A17" s="17"/>
      <c r="B17" s="18"/>
      <c r="C17" s="30" t="s">
        <v>16</v>
      </c>
      <c r="D17" s="9">
        <f>MIN(ChangeDate)</f>
        <v>40179</v>
      </c>
      <c r="E17" s="17"/>
      <c r="F17" s="17"/>
    </row>
    <row r="18" spans="1:6" ht="17.45" customHeight="1">
      <c r="A18" s="17"/>
      <c r="B18" s="18"/>
      <c r="C18" s="30" t="s">
        <v>17</v>
      </c>
      <c r="D18" s="9">
        <f>MAX(ChangeDate)</f>
        <v>40179</v>
      </c>
      <c r="E18" s="17"/>
      <c r="F18" s="17"/>
    </row>
    <row r="19" spans="1:6" ht="17.45" customHeight="1">
      <c r="A19" s="17"/>
      <c r="B19" s="18"/>
      <c r="C19" s="30" t="s">
        <v>18</v>
      </c>
      <c r="D19" s="5" t="s">
        <v>25</v>
      </c>
      <c r="E19" s="17"/>
      <c r="F19" s="17"/>
    </row>
    <row r="20" spans="1:6" ht="17.45" customHeight="1">
      <c r="A20" s="17"/>
      <c r="B20" s="18"/>
      <c r="C20" s="31" t="s">
        <v>19</v>
      </c>
      <c r="D20" s="6" t="str">
        <f>SUBSTITUTE(MAX('Document Control'!D10:D14),",",".")</f>
        <v>0.1</v>
      </c>
      <c r="E20" s="17"/>
      <c r="F20" s="17"/>
    </row>
    <row r="21" spans="1:6" ht="71.45" customHeight="1">
      <c r="A21" s="17"/>
      <c r="B21" s="18"/>
      <c r="C21" s="17"/>
      <c r="D21" s="17"/>
      <c r="E21" s="17"/>
      <c r="F21" s="17"/>
    </row>
    <row r="22" spans="1:6" ht="23.25">
      <c r="A22" s="17"/>
      <c r="B22" s="18"/>
      <c r="C22" s="32" t="s">
        <v>20</v>
      </c>
      <c r="D22" s="17"/>
      <c r="E22" s="17"/>
      <c r="F22" s="17"/>
    </row>
    <row r="23" spans="1:6" s="4" customFormat="1" ht="26.45" customHeight="1">
      <c r="A23" s="20"/>
      <c r="B23" s="18"/>
      <c r="C23" s="30" t="s">
        <v>23</v>
      </c>
      <c r="D23" s="24" t="s">
        <v>24</v>
      </c>
      <c r="E23" s="20"/>
      <c r="F23" s="20"/>
    </row>
    <row r="24" spans="1:6" ht="23.25">
      <c r="A24" s="17"/>
      <c r="B24" s="18"/>
      <c r="C24" s="5" t="s">
        <v>21</v>
      </c>
      <c r="D24" s="5"/>
      <c r="E24" s="17"/>
      <c r="F24" s="17"/>
    </row>
    <row r="25" spans="1:6" ht="23.25">
      <c r="A25" s="17"/>
      <c r="B25" s="18"/>
      <c r="C25" s="5" t="s">
        <v>22</v>
      </c>
      <c r="D25" s="5"/>
      <c r="E25" s="17"/>
      <c r="F25" s="17"/>
    </row>
    <row r="26" spans="1:6" ht="23.25">
      <c r="A26" s="17"/>
      <c r="B26" s="18"/>
      <c r="C26" s="2"/>
      <c r="D26" s="2"/>
      <c r="E26" s="17"/>
      <c r="F26" s="17"/>
    </row>
    <row r="27" spans="1:6">
      <c r="A27" s="17"/>
      <c r="B27" s="16"/>
      <c r="C27" s="17"/>
      <c r="D27" s="17"/>
      <c r="E27" s="33"/>
      <c r="F27" s="33"/>
    </row>
    <row r="28" spans="1:6">
      <c r="A28" s="17"/>
      <c r="B28" s="16"/>
      <c r="C28" s="17"/>
      <c r="D28" s="17"/>
      <c r="E28" s="33"/>
      <c r="F28" s="33"/>
    </row>
    <row r="29" spans="1:6">
      <c r="A29" s="17"/>
      <c r="B29" s="16"/>
      <c r="C29" s="17"/>
      <c r="D29" s="17"/>
      <c r="E29" s="33"/>
      <c r="F29" s="33"/>
    </row>
    <row r="30" spans="1:6">
      <c r="A30" s="17"/>
      <c r="B30" s="16"/>
      <c r="C30" s="17"/>
      <c r="D30" s="17"/>
      <c r="E30" s="33"/>
      <c r="F30" s="33"/>
    </row>
    <row r="31" spans="1:6">
      <c r="A31" s="17"/>
      <c r="B31" s="16"/>
      <c r="C31" s="17"/>
      <c r="D31" s="17"/>
      <c r="E31" s="33"/>
      <c r="F31" s="33"/>
    </row>
    <row r="32" spans="1:6">
      <c r="A32" s="17"/>
      <c r="B32" s="16"/>
      <c r="C32" s="17"/>
      <c r="D32" s="17"/>
      <c r="E32" s="33"/>
      <c r="F32" s="33"/>
    </row>
  </sheetData>
  <mergeCells count="2">
    <mergeCell ref="E2:F2"/>
    <mergeCell ref="D1:F1"/>
  </mergeCells>
  <phoneticPr fontId="1" type="noConversion"/>
  <pageMargins left="0.74803149606299213" right="0.74803149606299213" top="0.66" bottom="0.98425196850393704" header="0.51181102362204722" footer="0.51181102362204722"/>
  <pageSetup paperSize="9" fitToHeight="0" orientation="portrait" blackAndWhite="1" horizontalDpi="4294967293" r:id="rId1"/>
  <headerFooter alignWithMargins="0">
    <oddFooter>&amp;L&amp;8File Ref: &amp;F&amp;R&amp;8&amp;A</oddFooter>
  </headerFooter>
  <drawing r:id="rId2"/>
  <legacyDrawing r:id="rId3"/>
</worksheet>
</file>

<file path=xl/worksheets/sheet3.xml><?xml version="1.0" encoding="utf-8"?>
<worksheet xmlns="http://schemas.openxmlformats.org/spreadsheetml/2006/main" xmlns:r="http://schemas.openxmlformats.org/officeDocument/2006/relationships">
  <dimension ref="A1:F31"/>
  <sheetViews>
    <sheetView zoomScale="69" zoomScaleNormal="69" workbookViewId="0">
      <selection activeCell="D20" sqref="D20"/>
    </sheetView>
  </sheetViews>
  <sheetFormatPr defaultRowHeight="12.75"/>
  <cols>
    <col min="1" max="1" width="4.140625" style="13" customWidth="1"/>
    <col min="2" max="2" width="9.5703125" style="12" customWidth="1"/>
    <col min="3" max="3" width="21.5703125" style="13" customWidth="1"/>
    <col min="4" max="4" width="74.140625" style="13" customWidth="1"/>
    <col min="5" max="5" width="12" style="13" customWidth="1"/>
    <col min="6" max="6" width="4.28515625" style="13" customWidth="1"/>
    <col min="7" max="16384" width="9.140625" style="13"/>
  </cols>
  <sheetData>
    <row r="1" spans="1:6">
      <c r="A1" s="11" t="str">
        <f>Title</f>
        <v>RD.045 MoSCoW List</v>
      </c>
      <c r="F1" s="14" t="str">
        <f>Document_Ref</f>
        <v>&lt;Document Reference Number&gt;</v>
      </c>
    </row>
    <row r="2" spans="1:6">
      <c r="A2" s="11"/>
      <c r="E2" s="207">
        <f ca="1">NOW()</f>
        <v>41915.734152083336</v>
      </c>
      <c r="F2" s="207"/>
    </row>
    <row r="3" spans="1:6">
      <c r="A3" s="45"/>
      <c r="B3" s="46"/>
      <c r="C3" s="43"/>
      <c r="D3" s="43"/>
      <c r="E3" s="43"/>
      <c r="F3" s="43"/>
    </row>
    <row r="4" spans="1:6">
      <c r="A4" s="45"/>
      <c r="B4" s="46"/>
      <c r="C4" s="43"/>
      <c r="D4" s="43"/>
      <c r="E4" s="43"/>
      <c r="F4" s="43"/>
    </row>
    <row r="5" spans="1:6" ht="23.25">
      <c r="A5" s="45"/>
      <c r="B5" s="47" t="s">
        <v>29</v>
      </c>
      <c r="C5" s="43"/>
      <c r="D5" s="43"/>
      <c r="E5" s="43"/>
      <c r="F5" s="43"/>
    </row>
    <row r="6" spans="1:6">
      <c r="A6" s="45"/>
      <c r="B6" s="46"/>
      <c r="C6" s="43"/>
      <c r="D6" s="43"/>
      <c r="E6" s="43"/>
      <c r="F6" s="43"/>
    </row>
    <row r="7" spans="1:6">
      <c r="A7" s="112">
        <v>1</v>
      </c>
      <c r="B7" s="209" t="s">
        <v>31</v>
      </c>
      <c r="C7" s="210"/>
      <c r="D7" s="210"/>
      <c r="E7" s="211"/>
      <c r="F7" s="112"/>
    </row>
    <row r="8" spans="1:6" ht="39.75" customHeight="1">
      <c r="A8" s="113">
        <v>2</v>
      </c>
      <c r="B8" s="209" t="s">
        <v>189</v>
      </c>
      <c r="C8" s="210"/>
      <c r="D8" s="210"/>
      <c r="E8" s="211"/>
      <c r="F8" s="112"/>
    </row>
    <row r="9" spans="1:6" ht="40.5" customHeight="1">
      <c r="A9" s="113">
        <v>3</v>
      </c>
      <c r="B9" s="209" t="s">
        <v>190</v>
      </c>
      <c r="C9" s="210"/>
      <c r="D9" s="210"/>
      <c r="E9" s="211"/>
      <c r="F9" s="112"/>
    </row>
    <row r="10" spans="1:6" ht="26.25" customHeight="1">
      <c r="A10" s="113">
        <v>4</v>
      </c>
      <c r="B10" s="209" t="s">
        <v>205</v>
      </c>
      <c r="C10" s="210"/>
      <c r="D10" s="210"/>
      <c r="E10" s="211"/>
      <c r="F10" s="112"/>
    </row>
    <row r="11" spans="1:6">
      <c r="A11" s="43"/>
      <c r="B11" s="42"/>
      <c r="C11" s="43"/>
      <c r="D11" s="44"/>
      <c r="E11" s="43"/>
      <c r="F11" s="43"/>
    </row>
    <row r="12" spans="1:6">
      <c r="A12" s="43"/>
      <c r="B12" s="42"/>
      <c r="C12" s="43"/>
      <c r="D12" s="44"/>
      <c r="E12" s="43"/>
      <c r="F12" s="43"/>
    </row>
    <row r="13" spans="1:6" ht="13.5" thickBot="1">
      <c r="A13" s="43"/>
      <c r="B13" s="46"/>
      <c r="C13" s="41" t="s">
        <v>32</v>
      </c>
      <c r="D13" s="41" t="s">
        <v>33</v>
      </c>
      <c r="E13" s="43"/>
      <c r="F13" s="43"/>
    </row>
    <row r="14" spans="1:6" ht="51.75" customHeight="1" thickTop="1" thickBot="1">
      <c r="A14" s="109"/>
      <c r="B14" s="109"/>
      <c r="C14" s="39" t="s">
        <v>188</v>
      </c>
      <c r="D14" s="38" t="s">
        <v>191</v>
      </c>
      <c r="E14" s="109"/>
      <c r="F14" s="109"/>
    </row>
    <row r="15" spans="1:6" ht="40.5" customHeight="1" thickTop="1" thickBot="1">
      <c r="A15" s="109"/>
      <c r="B15" s="109"/>
      <c r="C15" s="39" t="s">
        <v>34</v>
      </c>
      <c r="D15" s="38" t="s">
        <v>203</v>
      </c>
      <c r="E15" s="109"/>
      <c r="F15" s="109"/>
    </row>
    <row r="16" spans="1:6" s="111" customFormat="1" ht="40.5" customHeight="1" thickTop="1" thickBot="1">
      <c r="A16" s="110"/>
      <c r="B16" s="110"/>
      <c r="C16" s="39" t="s">
        <v>35</v>
      </c>
      <c r="D16" s="38" t="s">
        <v>192</v>
      </c>
      <c r="E16" s="110"/>
      <c r="F16" s="110"/>
    </row>
    <row r="17" spans="1:6" ht="52.5" thickTop="1" thickBot="1">
      <c r="A17" s="109"/>
      <c r="B17" s="109"/>
      <c r="C17" s="39" t="s">
        <v>36</v>
      </c>
      <c r="D17" s="40" t="s">
        <v>37</v>
      </c>
      <c r="E17" s="109"/>
      <c r="F17" s="109"/>
    </row>
    <row r="18" spans="1:6" ht="65.25" thickTop="1" thickBot="1">
      <c r="A18" s="109"/>
      <c r="B18" s="109"/>
      <c r="C18" s="39" t="s">
        <v>187</v>
      </c>
      <c r="D18" s="40" t="s">
        <v>40</v>
      </c>
      <c r="E18" s="109"/>
      <c r="F18" s="109"/>
    </row>
    <row r="19" spans="1:6" ht="65.25" thickTop="1" thickBot="1">
      <c r="A19" s="109"/>
      <c r="B19" s="109"/>
      <c r="C19" s="39" t="s">
        <v>38</v>
      </c>
      <c r="D19" s="40" t="s">
        <v>39</v>
      </c>
      <c r="E19" s="109"/>
      <c r="F19" s="109"/>
    </row>
    <row r="20" spans="1:6" ht="75" customHeight="1" thickTop="1" thickBot="1">
      <c r="A20" s="109"/>
      <c r="B20" s="109"/>
      <c r="C20" s="39" t="s">
        <v>226</v>
      </c>
      <c r="D20" s="40" t="s">
        <v>227</v>
      </c>
      <c r="E20" s="109"/>
      <c r="F20" s="109"/>
    </row>
    <row r="21" spans="1:6" ht="13.5" thickTop="1">
      <c r="B21" s="13"/>
    </row>
    <row r="22" spans="1:6">
      <c r="B22" s="13"/>
    </row>
    <row r="23" spans="1:6">
      <c r="B23" s="13"/>
    </row>
    <row r="24" spans="1:6" ht="10.15" customHeight="1">
      <c r="B24" s="13"/>
    </row>
    <row r="25" spans="1:6" s="111" customFormat="1" ht="26.45" customHeight="1"/>
    <row r="26" spans="1:6">
      <c r="B26" s="13"/>
    </row>
    <row r="27" spans="1:6">
      <c r="B27" s="13"/>
    </row>
    <row r="28" spans="1:6">
      <c r="B28" s="13"/>
    </row>
    <row r="29" spans="1:6">
      <c r="B29" s="13"/>
    </row>
    <row r="30" spans="1:6">
      <c r="B30" s="13"/>
    </row>
    <row r="31" spans="1:6">
      <c r="B31" s="13"/>
    </row>
  </sheetData>
  <mergeCells count="5">
    <mergeCell ref="E2:F2"/>
    <mergeCell ref="B7:E7"/>
    <mergeCell ref="B8:E8"/>
    <mergeCell ref="B9:E9"/>
    <mergeCell ref="B10:E10"/>
  </mergeCells>
  <pageMargins left="0.7" right="0.7" top="0.75" bottom="0.75" header="0.3" footer="0.3"/>
  <pageSetup orientation="portrait" horizontalDpi="4294967293" verticalDpi="0" r:id="rId1"/>
</worksheet>
</file>

<file path=xl/worksheets/sheet4.xml><?xml version="1.0" encoding="utf-8"?>
<worksheet xmlns="http://schemas.openxmlformats.org/spreadsheetml/2006/main" xmlns:r="http://schemas.openxmlformats.org/officeDocument/2006/relationships">
  <dimension ref="A1:B9"/>
  <sheetViews>
    <sheetView workbookViewId="0">
      <selection activeCell="A10" sqref="A10"/>
    </sheetView>
  </sheetViews>
  <sheetFormatPr defaultRowHeight="12.75"/>
  <cols>
    <col min="1" max="1" width="50.5703125" customWidth="1"/>
    <col min="2" max="2" width="67.140625" customWidth="1"/>
  </cols>
  <sheetData>
    <row r="1" spans="1:2" ht="39" customHeight="1">
      <c r="A1" s="106" t="s">
        <v>178</v>
      </c>
      <c r="B1" s="106" t="s">
        <v>179</v>
      </c>
    </row>
    <row r="2" spans="1:2" ht="51" customHeight="1">
      <c r="A2" s="107" t="s">
        <v>41</v>
      </c>
      <c r="B2" s="108" t="s">
        <v>182</v>
      </c>
    </row>
    <row r="3" spans="1:2" ht="79.5" customHeight="1">
      <c r="A3" s="108" t="s">
        <v>186</v>
      </c>
      <c r="B3" s="108" t="s">
        <v>204</v>
      </c>
    </row>
    <row r="4" spans="1:2" ht="36.75" customHeight="1">
      <c r="A4" s="107" t="s">
        <v>181</v>
      </c>
      <c r="B4" s="108" t="s">
        <v>184</v>
      </c>
    </row>
    <row r="5" spans="1:2" ht="36.75" customHeight="1">
      <c r="A5" s="107" t="s">
        <v>180</v>
      </c>
      <c r="B5" s="108" t="s">
        <v>183</v>
      </c>
    </row>
    <row r="6" spans="1:2" ht="36.75" customHeight="1">
      <c r="A6" s="108" t="s">
        <v>194</v>
      </c>
      <c r="B6" s="108" t="s">
        <v>195</v>
      </c>
    </row>
    <row r="7" spans="1:2" ht="52.5" customHeight="1">
      <c r="A7" s="108" t="s">
        <v>196</v>
      </c>
      <c r="B7" s="108" t="s">
        <v>197</v>
      </c>
    </row>
    <row r="8" spans="1:2" ht="42.75" customHeight="1">
      <c r="A8" s="108" t="s">
        <v>198</v>
      </c>
      <c r="B8" s="108" t="s">
        <v>185</v>
      </c>
    </row>
    <row r="9" spans="1:2" ht="63.75">
      <c r="A9" s="108" t="s">
        <v>199</v>
      </c>
      <c r="B9" s="108" t="s">
        <v>193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sheetPr codeName="Sheet18">
    <pageSetUpPr fitToPage="1"/>
  </sheetPr>
  <dimension ref="A1:F33"/>
  <sheetViews>
    <sheetView zoomScaleNormal="100" workbookViewId="0"/>
  </sheetViews>
  <sheetFormatPr defaultRowHeight="12.75"/>
  <cols>
    <col min="1" max="1" width="4.140625" customWidth="1"/>
    <col min="2" max="2" width="9.5703125" style="1" customWidth="1"/>
    <col min="3" max="4" width="21.5703125" customWidth="1"/>
    <col min="5" max="5" width="33.85546875" customWidth="1"/>
    <col min="6" max="6" width="4.28515625" customWidth="1"/>
  </cols>
  <sheetData>
    <row r="1" spans="1:6">
      <c r="A1" s="11" t="str">
        <f>Title</f>
        <v>RD.045 MoSCoW List</v>
      </c>
      <c r="B1" s="12"/>
      <c r="C1" s="13"/>
      <c r="D1" s="13"/>
      <c r="E1" s="13"/>
      <c r="F1" s="14" t="str">
        <f>Document_Ref</f>
        <v>&lt;Document Reference Number&gt;</v>
      </c>
    </row>
    <row r="2" spans="1:6">
      <c r="A2" s="11"/>
      <c r="B2" s="12"/>
      <c r="C2" s="13"/>
      <c r="D2" s="13"/>
      <c r="E2" s="207">
        <f ca="1">NOW()</f>
        <v>41915.734152083336</v>
      </c>
      <c r="F2" s="207"/>
    </row>
    <row r="3" spans="1:6">
      <c r="A3" s="15"/>
      <c r="B3" s="16"/>
      <c r="C3" s="17"/>
      <c r="D3" s="17"/>
      <c r="E3" s="17"/>
      <c r="F3" s="17"/>
    </row>
    <row r="4" spans="1:6">
      <c r="A4" s="15"/>
      <c r="B4" s="16"/>
      <c r="C4" s="17"/>
      <c r="D4" s="17"/>
      <c r="E4" s="17"/>
      <c r="F4" s="17"/>
    </row>
    <row r="5" spans="1:6" ht="23.25">
      <c r="A5" s="15"/>
      <c r="B5" s="18" t="s">
        <v>2</v>
      </c>
      <c r="C5" s="17"/>
      <c r="D5" s="17"/>
      <c r="E5" s="17"/>
      <c r="F5" s="17"/>
    </row>
    <row r="6" spans="1:6">
      <c r="A6" s="15"/>
      <c r="B6" s="16"/>
      <c r="C6" s="17"/>
      <c r="D6" s="17"/>
      <c r="E6" s="17"/>
      <c r="F6" s="17"/>
    </row>
    <row r="7" spans="1:6" ht="18">
      <c r="A7" s="17"/>
      <c r="B7" s="19" t="s">
        <v>1</v>
      </c>
      <c r="C7" s="17"/>
      <c r="D7" s="17"/>
      <c r="E7" s="17"/>
      <c r="F7" s="17"/>
    </row>
    <row r="8" spans="1:6" ht="10.15" customHeight="1">
      <c r="A8" s="17"/>
      <c r="B8" s="19"/>
      <c r="C8" s="17"/>
      <c r="D8" s="17"/>
      <c r="E8" s="17"/>
      <c r="F8" s="17"/>
    </row>
    <row r="9" spans="1:6" s="4" customFormat="1" ht="26.45" customHeight="1">
      <c r="A9" s="20"/>
      <c r="B9" s="21" t="s">
        <v>3</v>
      </c>
      <c r="C9" s="22" t="s">
        <v>4</v>
      </c>
      <c r="D9" s="23" t="s">
        <v>5</v>
      </c>
      <c r="E9" s="24" t="s">
        <v>6</v>
      </c>
      <c r="F9" s="20"/>
    </row>
    <row r="10" spans="1:6">
      <c r="A10" s="17"/>
      <c r="B10" s="8">
        <v>40179</v>
      </c>
      <c r="C10" s="2" t="s">
        <v>15</v>
      </c>
      <c r="D10" s="7">
        <v>0.1</v>
      </c>
      <c r="E10" s="2"/>
      <c r="F10" s="17"/>
    </row>
    <row r="11" spans="1:6">
      <c r="A11" s="17"/>
      <c r="B11" s="8"/>
      <c r="C11" s="2"/>
      <c r="D11" s="7"/>
      <c r="E11" s="2"/>
      <c r="F11" s="17"/>
    </row>
    <row r="12" spans="1:6">
      <c r="A12" s="17"/>
      <c r="B12" s="8"/>
      <c r="C12" s="2"/>
      <c r="D12" s="7"/>
      <c r="E12" s="2"/>
      <c r="F12" s="17"/>
    </row>
    <row r="13" spans="1:6">
      <c r="A13" s="17"/>
      <c r="B13" s="8"/>
      <c r="C13" s="2"/>
      <c r="D13" s="7"/>
      <c r="E13" s="2"/>
      <c r="F13" s="17"/>
    </row>
    <row r="14" spans="1:6">
      <c r="A14" s="17"/>
      <c r="B14" s="25"/>
      <c r="C14" s="17"/>
      <c r="D14" s="26"/>
      <c r="E14" s="17"/>
      <c r="F14" s="17"/>
    </row>
    <row r="15" spans="1:6">
      <c r="A15" s="17"/>
      <c r="B15" s="16"/>
      <c r="C15" s="17"/>
      <c r="D15" s="17"/>
      <c r="E15" s="17"/>
      <c r="F15" s="17"/>
    </row>
    <row r="16" spans="1:6" ht="18" customHeight="1">
      <c r="A16" s="17"/>
      <c r="B16" s="19" t="s">
        <v>7</v>
      </c>
      <c r="C16" s="17"/>
      <c r="D16" s="17"/>
      <c r="E16" s="17"/>
      <c r="F16" s="17"/>
    </row>
    <row r="17" spans="1:6" ht="11.45" customHeight="1">
      <c r="A17" s="17"/>
      <c r="B17" s="19"/>
      <c r="C17" s="17"/>
      <c r="D17" s="17"/>
      <c r="E17" s="17"/>
      <c r="F17" s="17"/>
    </row>
    <row r="18" spans="1:6" s="4" customFormat="1" ht="26.45" customHeight="1">
      <c r="A18" s="20"/>
      <c r="B18" s="35" t="s">
        <v>0</v>
      </c>
      <c r="C18" s="22" t="s">
        <v>8</v>
      </c>
      <c r="D18" s="22" t="s">
        <v>9</v>
      </c>
      <c r="E18" s="24" t="s">
        <v>10</v>
      </c>
      <c r="F18" s="20"/>
    </row>
    <row r="19" spans="1:6">
      <c r="A19" s="17"/>
      <c r="B19" s="10" t="str">
        <f>IF(ISBLANK(C19),"",ROW()-ROW($B$18))</f>
        <v/>
      </c>
      <c r="C19" s="2"/>
      <c r="D19" s="2"/>
      <c r="E19" s="3"/>
      <c r="F19" s="17"/>
    </row>
    <row r="20" spans="1:6">
      <c r="A20" s="17"/>
      <c r="B20" s="10" t="str">
        <f>IF(ISBLANK(C20),"",ROW()-ROW($B$18))</f>
        <v/>
      </c>
      <c r="C20" s="2"/>
      <c r="D20" s="2"/>
      <c r="E20" s="3"/>
      <c r="F20" s="17"/>
    </row>
    <row r="21" spans="1:6">
      <c r="A21" s="17"/>
      <c r="B21" s="10" t="str">
        <f>IF(ISBLANK(C21),"",ROW()-ROW($B$18))</f>
        <v/>
      </c>
      <c r="C21" s="2"/>
      <c r="D21" s="2"/>
      <c r="E21" s="3"/>
      <c r="F21" s="17"/>
    </row>
    <row r="22" spans="1:6">
      <c r="A22" s="17"/>
      <c r="B22" s="10" t="str">
        <f>IF(ISBLANK(C22),"",ROW()-ROW($B$18))</f>
        <v/>
      </c>
      <c r="C22" s="2"/>
      <c r="D22" s="2"/>
      <c r="E22" s="3"/>
      <c r="F22" s="17"/>
    </row>
    <row r="23" spans="1:6">
      <c r="A23" s="15"/>
      <c r="B23" s="16"/>
      <c r="C23" s="17"/>
      <c r="D23" s="17"/>
      <c r="E23" s="17"/>
      <c r="F23" s="17"/>
    </row>
    <row r="24" spans="1:6">
      <c r="A24" s="15"/>
      <c r="B24" s="16"/>
      <c r="C24" s="17"/>
      <c r="D24" s="17"/>
      <c r="E24" s="17"/>
      <c r="F24" s="17"/>
    </row>
    <row r="25" spans="1:6">
      <c r="B25"/>
    </row>
    <row r="26" spans="1:6" ht="10.15" customHeight="1">
      <c r="B26"/>
    </row>
    <row r="27" spans="1:6" s="4" customFormat="1" ht="26.45" customHeight="1"/>
    <row r="28" spans="1:6">
      <c r="B28"/>
    </row>
    <row r="29" spans="1:6">
      <c r="B29"/>
    </row>
    <row r="30" spans="1:6">
      <c r="B30"/>
    </row>
    <row r="31" spans="1:6">
      <c r="B31"/>
    </row>
    <row r="32" spans="1:6">
      <c r="B32"/>
    </row>
    <row r="33" spans="2:2">
      <c r="B33"/>
    </row>
  </sheetData>
  <mergeCells count="1">
    <mergeCell ref="E2:F2"/>
  </mergeCells>
  <phoneticPr fontId="1" type="noConversion"/>
  <pageMargins left="0.74803149606299213" right="0.74803149606299213" top="0.53" bottom="0.98425196850393704" header="0.51181102362204722" footer="0.51181102362204722"/>
  <pageSetup paperSize="9" scale="92" fitToHeight="0" orientation="portrait" blackAndWhite="1" horizontalDpi="4294967293" r:id="rId1"/>
  <headerFooter alignWithMargins="0">
    <oddFooter>&amp;L&amp;7File Ref: &amp;F&amp;R&amp;8&amp;A</oddFooter>
  </headerFooter>
  <legacyDrawing r:id="rId2"/>
</worksheet>
</file>

<file path=xl/worksheets/sheet6.xml><?xml version="1.0" encoding="utf-8"?>
<worksheet xmlns="http://schemas.openxmlformats.org/spreadsheetml/2006/main" xmlns:r="http://schemas.openxmlformats.org/officeDocument/2006/relationships">
  <dimension ref="A1:H14"/>
  <sheetViews>
    <sheetView workbookViewId="0"/>
  </sheetViews>
  <sheetFormatPr defaultColWidth="8.85546875" defaultRowHeight="12.75"/>
  <cols>
    <col min="1" max="1" width="10.5703125" style="13" customWidth="1"/>
    <col min="2" max="2" width="12.5703125" style="13" customWidth="1"/>
    <col min="3" max="3" width="11.85546875" style="13" customWidth="1"/>
    <col min="4" max="4" width="46.7109375" style="13" customWidth="1"/>
    <col min="5" max="5" width="19.7109375" style="13" customWidth="1"/>
    <col min="6" max="6" width="38.7109375" style="13" customWidth="1"/>
    <col min="7" max="7" width="12.85546875" style="13" hidden="1" customWidth="1"/>
    <col min="8" max="8" width="8.85546875" style="13" hidden="1" customWidth="1"/>
    <col min="9" max="16384" width="8.85546875" style="13"/>
  </cols>
  <sheetData>
    <row r="1" spans="1:8" ht="107.25" customHeight="1" thickBot="1">
      <c r="A1" s="114"/>
      <c r="B1" s="115"/>
      <c r="C1" s="115"/>
      <c r="D1" s="116"/>
      <c r="E1" s="116"/>
      <c r="F1" s="117"/>
      <c r="G1" s="117"/>
      <c r="H1" s="117"/>
    </row>
    <row r="2" spans="1:8" s="124" customFormat="1" ht="20.25" customHeight="1" thickBot="1">
      <c r="A2" s="118"/>
      <c r="B2" s="119"/>
      <c r="C2" s="119"/>
      <c r="D2" s="120"/>
      <c r="E2" s="121"/>
      <c r="F2" s="122"/>
      <c r="G2" s="121"/>
      <c r="H2" s="123"/>
    </row>
    <row r="3" spans="1:8" s="49" customFormat="1" ht="39" thickBot="1">
      <c r="A3" s="50" t="s">
        <v>42</v>
      </c>
      <c r="B3" s="51" t="s">
        <v>43</v>
      </c>
      <c r="C3" s="51" t="s">
        <v>44</v>
      </c>
      <c r="D3" s="51" t="s">
        <v>45</v>
      </c>
      <c r="E3" s="51" t="s">
        <v>46</v>
      </c>
      <c r="F3" s="52" t="s">
        <v>47</v>
      </c>
      <c r="G3" s="48" t="s">
        <v>69</v>
      </c>
      <c r="H3" s="48" t="s">
        <v>48</v>
      </c>
    </row>
    <row r="4" spans="1:8">
      <c r="A4" s="125">
        <v>1</v>
      </c>
      <c r="B4" s="36" t="s">
        <v>49</v>
      </c>
      <c r="C4" s="36" t="s">
        <v>50</v>
      </c>
      <c r="D4" s="69"/>
      <c r="E4" s="69"/>
      <c r="F4" s="126"/>
      <c r="G4" s="126"/>
      <c r="H4" s="126"/>
    </row>
    <row r="5" spans="1:8" ht="25.5">
      <c r="A5" s="127">
        <v>2</v>
      </c>
      <c r="B5" s="37" t="s">
        <v>51</v>
      </c>
      <c r="C5" s="37" t="s">
        <v>52</v>
      </c>
      <c r="D5" s="70"/>
      <c r="E5" s="70"/>
      <c r="F5" s="128"/>
      <c r="G5" s="128"/>
      <c r="H5" s="128"/>
    </row>
    <row r="6" spans="1:8">
      <c r="A6" s="127">
        <v>3</v>
      </c>
      <c r="B6" s="37" t="s">
        <v>53</v>
      </c>
      <c r="C6" s="37" t="s">
        <v>54</v>
      </c>
      <c r="D6" s="70"/>
      <c r="E6" s="70"/>
      <c r="F6" s="128"/>
      <c r="G6" s="128"/>
      <c r="H6" s="128"/>
    </row>
    <row r="7" spans="1:8" ht="51">
      <c r="A7" s="127">
        <v>5</v>
      </c>
      <c r="B7" s="37" t="s">
        <v>55</v>
      </c>
      <c r="C7" s="37" t="s">
        <v>56</v>
      </c>
      <c r="D7" s="70"/>
      <c r="E7" s="70"/>
      <c r="F7" s="128"/>
      <c r="G7" s="128"/>
      <c r="H7" s="128"/>
    </row>
    <row r="8" spans="1:8" ht="51">
      <c r="A8" s="127">
        <v>6</v>
      </c>
      <c r="B8" s="37" t="s">
        <v>57</v>
      </c>
      <c r="C8" s="37"/>
      <c r="D8" s="70"/>
      <c r="E8" s="70"/>
      <c r="F8" s="128"/>
      <c r="G8" s="128"/>
      <c r="H8" s="128"/>
    </row>
    <row r="9" spans="1:8">
      <c r="A9" s="127">
        <v>7</v>
      </c>
      <c r="B9" s="37"/>
      <c r="C9" s="37"/>
      <c r="D9" s="70"/>
      <c r="E9" s="70"/>
      <c r="F9" s="128"/>
      <c r="G9" s="128"/>
      <c r="H9" s="128"/>
    </row>
    <row r="10" spans="1:8">
      <c r="A10" s="127">
        <v>8</v>
      </c>
      <c r="B10" s="37"/>
      <c r="C10" s="37"/>
      <c r="D10" s="70"/>
      <c r="E10" s="70"/>
      <c r="F10" s="128"/>
      <c r="G10" s="128"/>
      <c r="H10" s="128"/>
    </row>
    <row r="11" spans="1:8">
      <c r="A11" s="127">
        <v>9</v>
      </c>
      <c r="B11" s="37"/>
      <c r="C11" s="37"/>
      <c r="D11" s="70"/>
      <c r="E11" s="70"/>
      <c r="F11" s="128"/>
      <c r="G11" s="128"/>
      <c r="H11" s="128"/>
    </row>
    <row r="12" spans="1:8" ht="31.5" customHeight="1">
      <c r="A12" s="127">
        <v>10</v>
      </c>
      <c r="B12" s="37"/>
      <c r="C12" s="37"/>
      <c r="D12" s="70"/>
      <c r="E12" s="70"/>
      <c r="F12" s="128"/>
      <c r="G12" s="128"/>
      <c r="H12" s="128"/>
    </row>
    <row r="13" spans="1:8" ht="33.75" customHeight="1">
      <c r="A13" s="127">
        <v>11</v>
      </c>
      <c r="B13" s="37"/>
      <c r="C13" s="37"/>
      <c r="D13" s="117"/>
      <c r="E13" s="117"/>
      <c r="F13" s="129"/>
      <c r="G13" s="129"/>
      <c r="H13" s="129"/>
    </row>
    <row r="14" spans="1:8" ht="33.75" customHeight="1">
      <c r="A14" s="127">
        <v>12</v>
      </c>
      <c r="B14" s="37"/>
      <c r="C14" s="37"/>
      <c r="D14" s="53"/>
      <c r="E14" s="53"/>
      <c r="F14" s="53"/>
      <c r="G14" s="53"/>
      <c r="H14" s="53"/>
    </row>
  </sheetData>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dimension ref="A1:X110"/>
  <sheetViews>
    <sheetView topLeftCell="M1" workbookViewId="0">
      <selection activeCell="W3" sqref="W3"/>
    </sheetView>
  </sheetViews>
  <sheetFormatPr defaultRowHeight="12.75"/>
  <cols>
    <col min="1" max="1" width="11.7109375" style="115" customWidth="1"/>
    <col min="2" max="2" width="9.28515625" style="115" customWidth="1"/>
    <col min="3" max="3" width="14" style="115" customWidth="1"/>
    <col min="4" max="4" width="14.42578125" style="115" customWidth="1"/>
    <col min="5" max="5" width="34.85546875" style="116" customWidth="1"/>
    <col min="6" max="6" width="10.85546875" style="13" customWidth="1"/>
    <col min="7" max="8" width="13.5703125" style="115" customWidth="1"/>
    <col min="9" max="10" width="20.140625" style="116" customWidth="1"/>
    <col min="11" max="11" width="25.7109375" style="160" customWidth="1"/>
    <col min="12" max="12" width="29.140625" style="165" customWidth="1"/>
    <col min="13" max="14" width="27.28515625" style="165" customWidth="1"/>
    <col min="15" max="15" width="18.140625" style="115" customWidth="1"/>
    <col min="16" max="16" width="18" style="165" hidden="1" customWidth="1"/>
    <col min="17" max="17" width="15.28515625" style="165" hidden="1" customWidth="1"/>
    <col min="18" max="18" width="14" style="116" hidden="1" customWidth="1"/>
    <col min="19" max="19" width="13" style="131" hidden="1" customWidth="1"/>
    <col min="20" max="20" width="17.5703125" style="131" customWidth="1"/>
    <col min="21" max="21" width="18.5703125" style="13" customWidth="1"/>
    <col min="22" max="22" width="16.7109375" style="13" customWidth="1"/>
    <col min="23" max="23" width="13" style="116" customWidth="1"/>
    <col min="24" max="24" width="9.140625" style="116"/>
    <col min="25" max="16384" width="9.140625" style="131"/>
  </cols>
  <sheetData>
    <row r="1" spans="1:24" ht="30.75" customHeight="1" thickBot="1">
      <c r="A1" s="37"/>
      <c r="B1" s="37"/>
      <c r="C1" s="37"/>
      <c r="D1" s="66"/>
      <c r="E1" s="70"/>
      <c r="F1" s="70"/>
      <c r="G1" s="37"/>
      <c r="H1" s="37"/>
      <c r="I1" s="70"/>
      <c r="J1" s="70"/>
      <c r="K1" s="130"/>
      <c r="L1" s="68"/>
      <c r="M1" s="68"/>
      <c r="N1" s="68"/>
      <c r="O1" s="37"/>
      <c r="P1" s="68"/>
      <c r="Q1" s="68"/>
      <c r="R1" s="70"/>
      <c r="S1" s="70"/>
      <c r="T1" s="70"/>
      <c r="U1" s="59"/>
    </row>
    <row r="2" spans="1:24" ht="7.5" customHeight="1" thickBot="1">
      <c r="A2" s="134"/>
      <c r="B2" s="134"/>
      <c r="C2" s="134"/>
      <c r="D2" s="135"/>
      <c r="E2" s="136"/>
      <c r="F2" s="136"/>
      <c r="G2" s="134"/>
      <c r="H2" s="134"/>
      <c r="I2" s="136"/>
      <c r="J2" s="136"/>
      <c r="K2" s="137"/>
      <c r="L2" s="138"/>
      <c r="M2" s="138"/>
      <c r="N2" s="138"/>
      <c r="O2" s="134"/>
      <c r="P2" s="138"/>
      <c r="Q2" s="138"/>
      <c r="R2" s="136"/>
      <c r="S2" s="136"/>
      <c r="T2" s="136"/>
      <c r="U2" s="133"/>
      <c r="V2" s="139"/>
    </row>
    <row r="3" spans="1:24" s="13" customFormat="1" ht="38.25">
      <c r="A3" s="56" t="s">
        <v>42</v>
      </c>
      <c r="B3" s="56" t="s">
        <v>43</v>
      </c>
      <c r="C3" s="56" t="s">
        <v>44</v>
      </c>
      <c r="D3" s="56" t="s">
        <v>58</v>
      </c>
      <c r="E3" s="56" t="s">
        <v>59</v>
      </c>
      <c r="F3" s="56" t="s">
        <v>60</v>
      </c>
      <c r="G3" s="56" t="s">
        <v>61</v>
      </c>
      <c r="H3" s="56" t="s">
        <v>62</v>
      </c>
      <c r="I3" s="56" t="s">
        <v>63</v>
      </c>
      <c r="J3" s="56" t="s">
        <v>64</v>
      </c>
      <c r="K3" s="56" t="s">
        <v>213</v>
      </c>
      <c r="L3" s="56" t="s">
        <v>65</v>
      </c>
      <c r="M3" s="56" t="s">
        <v>66</v>
      </c>
      <c r="N3" s="56" t="s">
        <v>27</v>
      </c>
      <c r="O3" s="56" t="s">
        <v>26</v>
      </c>
      <c r="P3" s="56" t="s">
        <v>67</v>
      </c>
      <c r="Q3" s="56" t="s">
        <v>68</v>
      </c>
      <c r="R3" s="56" t="s">
        <v>47</v>
      </c>
      <c r="S3" s="56" t="s">
        <v>69</v>
      </c>
      <c r="T3" s="56" t="s">
        <v>47</v>
      </c>
      <c r="U3" s="56" t="s">
        <v>69</v>
      </c>
      <c r="V3" s="54" t="s">
        <v>70</v>
      </c>
      <c r="W3" s="132"/>
      <c r="X3" s="132"/>
    </row>
    <row r="4" spans="1:24" s="13" customFormat="1">
      <c r="A4" s="127">
        <v>1</v>
      </c>
      <c r="B4" s="37"/>
      <c r="C4" s="37"/>
      <c r="D4" s="37"/>
      <c r="E4" s="70"/>
      <c r="F4" s="70"/>
      <c r="G4" s="37"/>
      <c r="H4" s="37"/>
      <c r="I4" s="140" t="s">
        <v>71</v>
      </c>
      <c r="J4" s="140"/>
      <c r="K4" s="53"/>
      <c r="L4" s="141"/>
      <c r="M4" s="141"/>
      <c r="N4" s="141"/>
      <c r="O4" s="37"/>
      <c r="P4" s="127"/>
      <c r="Q4" s="127"/>
      <c r="R4" s="128"/>
      <c r="S4" s="128"/>
      <c r="T4" s="128"/>
      <c r="U4" s="59"/>
      <c r="V4" s="127"/>
      <c r="W4" s="132"/>
      <c r="X4" s="132"/>
    </row>
    <row r="5" spans="1:24" s="13" customFormat="1">
      <c r="A5" s="127">
        <v>2</v>
      </c>
      <c r="B5" s="37"/>
      <c r="C5" s="37"/>
      <c r="D5" s="37"/>
      <c r="E5" s="70"/>
      <c r="F5" s="70"/>
      <c r="G5" s="37"/>
      <c r="H5" s="37"/>
      <c r="I5" s="140"/>
      <c r="J5" s="140"/>
      <c r="K5" s="53"/>
      <c r="L5" s="141"/>
      <c r="M5" s="141"/>
      <c r="N5" s="141"/>
      <c r="O5" s="37"/>
      <c r="P5" s="53"/>
      <c r="Q5" s="53"/>
      <c r="R5" s="128"/>
      <c r="S5" s="128"/>
      <c r="T5" s="128"/>
      <c r="U5" s="59"/>
      <c r="V5" s="53"/>
      <c r="W5" s="132"/>
      <c r="X5" s="132"/>
    </row>
    <row r="6" spans="1:24" s="13" customFormat="1">
      <c r="A6" s="127">
        <v>3</v>
      </c>
      <c r="B6" s="37"/>
      <c r="C6" s="37"/>
      <c r="D6" s="37"/>
      <c r="E6" s="70"/>
      <c r="F6" s="70"/>
      <c r="G6" s="37"/>
      <c r="H6" s="37"/>
      <c r="I6" s="140"/>
      <c r="J6" s="140"/>
      <c r="K6" s="53"/>
      <c r="L6" s="141"/>
      <c r="M6" s="141"/>
      <c r="N6" s="141"/>
      <c r="O6" s="37"/>
      <c r="P6" s="53"/>
      <c r="Q6" s="53"/>
      <c r="R6" s="128"/>
      <c r="S6" s="128"/>
      <c r="T6" s="128"/>
      <c r="U6" s="59"/>
      <c r="V6" s="53"/>
      <c r="W6" s="132"/>
      <c r="X6" s="132"/>
    </row>
    <row r="7" spans="1:24" s="13" customFormat="1">
      <c r="A7" s="127">
        <v>4</v>
      </c>
      <c r="B7" s="37"/>
      <c r="C7" s="37"/>
      <c r="D7" s="37"/>
      <c r="E7" s="70"/>
      <c r="F7" s="70"/>
      <c r="G7" s="37"/>
      <c r="H7" s="37"/>
      <c r="I7" s="140"/>
      <c r="J7" s="140"/>
      <c r="K7" s="53"/>
      <c r="L7" s="141"/>
      <c r="M7" s="141"/>
      <c r="N7" s="141"/>
      <c r="O7" s="37"/>
      <c r="P7" s="53"/>
      <c r="Q7" s="59"/>
      <c r="R7" s="128"/>
      <c r="S7" s="128"/>
      <c r="T7" s="128"/>
      <c r="U7" s="59"/>
      <c r="V7" s="53"/>
      <c r="W7" s="132"/>
      <c r="X7" s="132"/>
    </row>
    <row r="8" spans="1:24" s="13" customFormat="1">
      <c r="A8" s="127">
        <v>5</v>
      </c>
      <c r="B8" s="37"/>
      <c r="C8" s="37"/>
      <c r="D8" s="37"/>
      <c r="E8" s="70"/>
      <c r="F8" s="70"/>
      <c r="G8" s="37"/>
      <c r="H8" s="37"/>
      <c r="I8" s="140"/>
      <c r="J8" s="140"/>
      <c r="K8" s="53"/>
      <c r="L8" s="141"/>
      <c r="M8" s="141"/>
      <c r="N8" s="141"/>
      <c r="O8" s="37"/>
      <c r="P8" s="127"/>
      <c r="Q8" s="127"/>
      <c r="R8" s="128"/>
      <c r="S8" s="128"/>
      <c r="T8" s="128"/>
      <c r="U8" s="59"/>
      <c r="V8" s="53"/>
      <c r="W8" s="132"/>
      <c r="X8" s="132"/>
    </row>
    <row r="9" spans="1:24" s="13" customFormat="1">
      <c r="A9" s="127">
        <v>6</v>
      </c>
      <c r="B9" s="37"/>
      <c r="C9" s="37"/>
      <c r="D9" s="37"/>
      <c r="E9" s="70"/>
      <c r="F9" s="70"/>
      <c r="G9" s="37"/>
      <c r="H9" s="37"/>
      <c r="I9" s="140"/>
      <c r="J9" s="140"/>
      <c r="K9" s="53"/>
      <c r="L9" s="141"/>
      <c r="M9" s="141"/>
      <c r="N9" s="141"/>
      <c r="O9" s="37"/>
      <c r="P9" s="127"/>
      <c r="Q9" s="127"/>
      <c r="R9" s="128"/>
      <c r="S9" s="128"/>
      <c r="T9" s="128"/>
      <c r="U9" s="59"/>
      <c r="V9" s="53"/>
      <c r="W9" s="132"/>
      <c r="X9" s="132"/>
    </row>
    <row r="10" spans="1:24" s="13" customFormat="1">
      <c r="A10" s="127">
        <v>7</v>
      </c>
      <c r="B10" s="37"/>
      <c r="C10" s="37"/>
      <c r="D10" s="37"/>
      <c r="E10" s="70"/>
      <c r="F10" s="70"/>
      <c r="G10" s="37"/>
      <c r="H10" s="37"/>
      <c r="I10" s="140"/>
      <c r="J10" s="140"/>
      <c r="K10" s="53"/>
      <c r="L10" s="141"/>
      <c r="M10" s="141"/>
      <c r="N10" s="141"/>
      <c r="O10" s="37"/>
      <c r="P10" s="127"/>
      <c r="Q10" s="127"/>
      <c r="R10" s="128"/>
      <c r="S10" s="128"/>
      <c r="T10" s="128"/>
      <c r="U10" s="59"/>
      <c r="V10" s="127"/>
      <c r="W10" s="132"/>
      <c r="X10" s="132"/>
    </row>
    <row r="11" spans="1:24" s="13" customFormat="1">
      <c r="A11" s="127">
        <v>8</v>
      </c>
      <c r="B11" s="37"/>
      <c r="C11" s="37"/>
      <c r="D11" s="37"/>
      <c r="E11" s="70"/>
      <c r="F11" s="70"/>
      <c r="G11" s="37"/>
      <c r="H11" s="37"/>
      <c r="I11" s="140"/>
      <c r="J11" s="140"/>
      <c r="K11" s="53"/>
      <c r="L11" s="141"/>
      <c r="M11" s="141"/>
      <c r="N11" s="141"/>
      <c r="O11" s="37"/>
      <c r="P11" s="127"/>
      <c r="Q11" s="127"/>
      <c r="R11" s="128"/>
      <c r="S11" s="128"/>
      <c r="T11" s="128"/>
      <c r="U11" s="59"/>
      <c r="V11" s="64"/>
      <c r="W11" s="132"/>
      <c r="X11" s="132"/>
    </row>
    <row r="12" spans="1:24" s="13" customFormat="1">
      <c r="A12" s="127">
        <v>9</v>
      </c>
      <c r="B12" s="37"/>
      <c r="C12" s="37"/>
      <c r="D12" s="37"/>
      <c r="E12" s="70"/>
      <c r="F12" s="70"/>
      <c r="G12" s="37"/>
      <c r="H12" s="37"/>
      <c r="I12" s="128"/>
      <c r="J12" s="140"/>
      <c r="K12" s="53"/>
      <c r="L12" s="141"/>
      <c r="M12" s="141"/>
      <c r="N12" s="141"/>
      <c r="O12" s="37"/>
      <c r="P12" s="127"/>
      <c r="Q12" s="127"/>
      <c r="R12" s="128"/>
      <c r="S12" s="128"/>
      <c r="T12" s="128"/>
      <c r="U12" s="59"/>
      <c r="V12" s="64"/>
      <c r="W12" s="132"/>
      <c r="X12" s="132"/>
    </row>
    <row r="13" spans="1:24" s="13" customFormat="1">
      <c r="A13" s="127">
        <v>10</v>
      </c>
      <c r="B13" s="37"/>
      <c r="C13" s="37"/>
      <c r="D13" s="37"/>
      <c r="E13" s="70"/>
      <c r="F13" s="70"/>
      <c r="G13" s="37"/>
      <c r="H13" s="37"/>
      <c r="I13" s="140"/>
      <c r="J13" s="140"/>
      <c r="K13" s="53"/>
      <c r="L13" s="141"/>
      <c r="M13" s="141"/>
      <c r="N13" s="141"/>
      <c r="O13" s="37"/>
      <c r="P13" s="127"/>
      <c r="Q13" s="127"/>
      <c r="R13" s="128"/>
      <c r="S13" s="128"/>
      <c r="T13" s="128"/>
      <c r="U13" s="59"/>
      <c r="V13" s="64"/>
      <c r="W13" s="132"/>
      <c r="X13" s="132"/>
    </row>
    <row r="14" spans="1:24" s="13" customFormat="1">
      <c r="A14" s="127">
        <v>11</v>
      </c>
      <c r="B14" s="37"/>
      <c r="C14" s="37"/>
      <c r="D14" s="37"/>
      <c r="E14" s="53"/>
      <c r="F14" s="53"/>
      <c r="G14" s="37"/>
      <c r="H14" s="37"/>
      <c r="I14" s="141"/>
      <c r="J14" s="140"/>
      <c r="K14" s="141"/>
      <c r="L14" s="141"/>
      <c r="M14" s="141"/>
      <c r="N14" s="141"/>
      <c r="O14" s="37"/>
      <c r="P14" s="59"/>
      <c r="Q14" s="141"/>
      <c r="R14" s="53"/>
      <c r="S14" s="53"/>
      <c r="T14" s="53"/>
      <c r="U14" s="59"/>
      <c r="V14" s="64"/>
      <c r="W14" s="132"/>
      <c r="X14" s="132"/>
    </row>
    <row r="15" spans="1:24" s="58" customFormat="1">
      <c r="A15" s="127">
        <v>12</v>
      </c>
      <c r="B15" s="37"/>
      <c r="C15" s="37"/>
      <c r="D15" s="37"/>
      <c r="E15" s="53"/>
      <c r="F15" s="59"/>
      <c r="G15" s="37"/>
      <c r="H15" s="37"/>
      <c r="I15" s="140"/>
      <c r="J15" s="140"/>
      <c r="K15" s="141"/>
      <c r="L15" s="141"/>
      <c r="M15" s="141"/>
      <c r="N15" s="141"/>
      <c r="O15" s="37"/>
      <c r="P15" s="141"/>
      <c r="Q15" s="141"/>
      <c r="R15" s="53"/>
      <c r="S15" s="53"/>
      <c r="T15" s="53"/>
      <c r="U15" s="53"/>
      <c r="V15" s="64"/>
      <c r="W15" s="142"/>
      <c r="X15" s="142"/>
    </row>
    <row r="16" spans="1:24" s="58" customFormat="1">
      <c r="A16" s="127">
        <v>13</v>
      </c>
      <c r="B16" s="37"/>
      <c r="C16" s="37"/>
      <c r="D16" s="37"/>
      <c r="E16" s="53"/>
      <c r="F16" s="59"/>
      <c r="G16" s="37"/>
      <c r="H16" s="37"/>
      <c r="I16" s="140"/>
      <c r="J16" s="140"/>
      <c r="K16" s="141"/>
      <c r="L16" s="141"/>
      <c r="M16" s="141"/>
      <c r="N16" s="141"/>
      <c r="O16" s="37"/>
      <c r="P16" s="141"/>
      <c r="Q16" s="141"/>
      <c r="R16" s="53"/>
      <c r="S16" s="53"/>
      <c r="T16" s="53"/>
      <c r="U16" s="53"/>
      <c r="V16" s="64"/>
      <c r="W16" s="142"/>
      <c r="X16" s="142"/>
    </row>
    <row r="17" spans="1:24" s="58" customFormat="1">
      <c r="A17" s="127">
        <v>14</v>
      </c>
      <c r="B17" s="37"/>
      <c r="C17" s="37"/>
      <c r="D17" s="37"/>
      <c r="E17" s="53"/>
      <c r="F17" s="59"/>
      <c r="G17" s="37"/>
      <c r="H17" s="37"/>
      <c r="I17" s="140"/>
      <c r="J17" s="140"/>
      <c r="K17" s="141"/>
      <c r="L17" s="141"/>
      <c r="M17" s="141"/>
      <c r="N17" s="141"/>
      <c r="O17" s="37"/>
      <c r="P17" s="141"/>
      <c r="Q17" s="141"/>
      <c r="R17" s="53"/>
      <c r="S17" s="53"/>
      <c r="T17" s="53"/>
      <c r="U17" s="53"/>
      <c r="V17" s="64"/>
      <c r="W17" s="142"/>
      <c r="X17" s="142"/>
    </row>
    <row r="18" spans="1:24" s="58" customFormat="1">
      <c r="A18" s="127">
        <v>15</v>
      </c>
      <c r="B18" s="37"/>
      <c r="C18" s="37"/>
      <c r="D18" s="37"/>
      <c r="E18" s="53"/>
      <c r="F18" s="59"/>
      <c r="G18" s="37"/>
      <c r="H18" s="37"/>
      <c r="I18" s="140"/>
      <c r="J18" s="140"/>
      <c r="K18" s="141"/>
      <c r="L18" s="141"/>
      <c r="M18" s="141"/>
      <c r="N18" s="141"/>
      <c r="O18" s="37"/>
      <c r="P18" s="141"/>
      <c r="Q18" s="141"/>
      <c r="R18" s="53"/>
      <c r="S18" s="53"/>
      <c r="T18" s="53"/>
      <c r="U18" s="53"/>
      <c r="V18" s="64"/>
      <c r="W18" s="142"/>
      <c r="X18" s="142"/>
    </row>
    <row r="19" spans="1:24" s="58" customFormat="1">
      <c r="A19" s="127">
        <v>16</v>
      </c>
      <c r="B19" s="37"/>
      <c r="C19" s="37"/>
      <c r="D19" s="37"/>
      <c r="E19" s="53"/>
      <c r="F19" s="59"/>
      <c r="G19" s="37"/>
      <c r="H19" s="37"/>
      <c r="I19" s="140"/>
      <c r="J19" s="140"/>
      <c r="K19" s="53"/>
      <c r="L19" s="141"/>
      <c r="M19" s="141"/>
      <c r="N19" s="141"/>
      <c r="O19" s="37"/>
      <c r="P19" s="141"/>
      <c r="Q19" s="141"/>
      <c r="R19" s="53"/>
      <c r="S19" s="53"/>
      <c r="T19" s="53"/>
      <c r="U19" s="53"/>
      <c r="V19" s="59"/>
      <c r="W19" s="142"/>
      <c r="X19" s="142"/>
    </row>
    <row r="20" spans="1:24" s="58" customFormat="1">
      <c r="A20" s="127">
        <v>17</v>
      </c>
      <c r="B20" s="37"/>
      <c r="C20" s="37"/>
      <c r="D20" s="37"/>
      <c r="E20" s="53"/>
      <c r="F20" s="59"/>
      <c r="G20" s="37"/>
      <c r="H20" s="37"/>
      <c r="I20" s="140"/>
      <c r="J20" s="140"/>
      <c r="K20" s="141"/>
      <c r="L20" s="141"/>
      <c r="M20" s="141"/>
      <c r="N20" s="141"/>
      <c r="O20" s="37"/>
      <c r="P20" s="141"/>
      <c r="Q20" s="141"/>
      <c r="R20" s="53"/>
      <c r="S20" s="53"/>
      <c r="T20" s="53"/>
      <c r="U20" s="53"/>
      <c r="V20" s="59"/>
      <c r="W20" s="142"/>
      <c r="X20" s="142"/>
    </row>
    <row r="21" spans="1:24" s="148" customFormat="1">
      <c r="A21" s="127">
        <v>18</v>
      </c>
      <c r="B21" s="143"/>
      <c r="C21" s="37"/>
      <c r="D21" s="143"/>
      <c r="E21" s="144"/>
      <c r="F21" s="59"/>
      <c r="G21" s="143"/>
      <c r="H21" s="143"/>
      <c r="I21" s="145"/>
      <c r="J21" s="145"/>
      <c r="K21" s="146"/>
      <c r="L21" s="146"/>
      <c r="M21" s="146"/>
      <c r="N21" s="146"/>
      <c r="O21" s="143"/>
      <c r="P21" s="146"/>
      <c r="Q21" s="146"/>
      <c r="R21" s="144"/>
      <c r="S21" s="144"/>
      <c r="T21" s="144"/>
      <c r="U21" s="144"/>
      <c r="V21" s="59"/>
      <c r="W21" s="147"/>
      <c r="X21" s="147"/>
    </row>
    <row r="22" spans="1:24" s="58" customFormat="1">
      <c r="A22" s="127">
        <v>19</v>
      </c>
      <c r="B22" s="37"/>
      <c r="C22" s="37"/>
      <c r="D22" s="37"/>
      <c r="E22" s="53"/>
      <c r="F22" s="59"/>
      <c r="G22" s="37"/>
      <c r="H22" s="37"/>
      <c r="I22" s="140"/>
      <c r="J22" s="140"/>
      <c r="K22" s="141"/>
      <c r="L22" s="141"/>
      <c r="M22" s="141"/>
      <c r="N22" s="141"/>
      <c r="O22" s="37"/>
      <c r="P22" s="141"/>
      <c r="Q22" s="141"/>
      <c r="R22" s="53"/>
      <c r="S22" s="53"/>
      <c r="T22" s="53"/>
      <c r="U22" s="53"/>
      <c r="V22" s="59"/>
      <c r="W22" s="142"/>
      <c r="X22" s="142"/>
    </row>
    <row r="23" spans="1:24" s="58" customFormat="1" ht="16.5" customHeight="1">
      <c r="A23" s="127">
        <v>20</v>
      </c>
      <c r="B23" s="37"/>
      <c r="C23" s="37"/>
      <c r="D23" s="37"/>
      <c r="E23" s="53"/>
      <c r="F23" s="59"/>
      <c r="G23" s="37"/>
      <c r="H23" s="37"/>
      <c r="I23" s="140"/>
      <c r="J23" s="140"/>
      <c r="K23" s="141"/>
      <c r="L23" s="141"/>
      <c r="M23" s="141"/>
      <c r="N23" s="141"/>
      <c r="O23" s="37"/>
      <c r="P23" s="141"/>
      <c r="Q23" s="141"/>
      <c r="R23" s="53"/>
      <c r="S23" s="53"/>
      <c r="T23" s="53"/>
      <c r="U23" s="53"/>
      <c r="V23" s="59"/>
      <c r="W23" s="142"/>
      <c r="X23" s="142"/>
    </row>
    <row r="24" spans="1:24" s="58" customFormat="1">
      <c r="A24" s="127">
        <v>21</v>
      </c>
      <c r="B24" s="37"/>
      <c r="C24" s="37"/>
      <c r="D24" s="37"/>
      <c r="E24" s="53"/>
      <c r="F24" s="59"/>
      <c r="G24" s="37"/>
      <c r="H24" s="37"/>
      <c r="I24" s="140"/>
      <c r="J24" s="140"/>
      <c r="K24" s="141"/>
      <c r="L24" s="141"/>
      <c r="M24" s="141"/>
      <c r="N24" s="141"/>
      <c r="O24" s="37"/>
      <c r="P24" s="141"/>
      <c r="Q24" s="141"/>
      <c r="R24" s="53"/>
      <c r="S24" s="53"/>
      <c r="T24" s="53"/>
      <c r="U24" s="53"/>
      <c r="V24" s="59"/>
      <c r="W24" s="142"/>
      <c r="X24" s="142"/>
    </row>
    <row r="25" spans="1:24" s="58" customFormat="1">
      <c r="A25" s="127">
        <v>22</v>
      </c>
      <c r="B25" s="37"/>
      <c r="C25" s="37"/>
      <c r="D25" s="37"/>
      <c r="E25" s="53"/>
      <c r="F25" s="59"/>
      <c r="G25" s="37"/>
      <c r="H25" s="37"/>
      <c r="I25" s="140"/>
      <c r="J25" s="140"/>
      <c r="K25" s="141"/>
      <c r="L25" s="141"/>
      <c r="M25" s="141"/>
      <c r="N25" s="141"/>
      <c r="O25" s="37"/>
      <c r="P25" s="141"/>
      <c r="Q25" s="141"/>
      <c r="R25" s="53"/>
      <c r="S25" s="53"/>
      <c r="T25" s="53"/>
      <c r="U25" s="53"/>
      <c r="V25" s="59"/>
      <c r="W25" s="142"/>
      <c r="X25" s="142"/>
    </row>
    <row r="26" spans="1:24" s="58" customFormat="1" ht="14.25" customHeight="1">
      <c r="A26" s="127">
        <v>23</v>
      </c>
      <c r="B26" s="37"/>
      <c r="C26" s="37"/>
      <c r="D26" s="37"/>
      <c r="E26" s="149"/>
      <c r="F26" s="59"/>
      <c r="G26" s="37"/>
      <c r="H26" s="37"/>
      <c r="I26" s="140"/>
      <c r="J26" s="140"/>
      <c r="K26" s="141"/>
      <c r="L26" s="141"/>
      <c r="M26" s="141"/>
      <c r="N26" s="141"/>
      <c r="O26" s="37"/>
      <c r="P26" s="141"/>
      <c r="Q26" s="141"/>
      <c r="R26" s="53"/>
      <c r="S26" s="53"/>
      <c r="T26" s="53"/>
      <c r="U26" s="53"/>
      <c r="V26" s="59"/>
      <c r="W26" s="142"/>
      <c r="X26" s="142"/>
    </row>
    <row r="27" spans="1:24" s="58" customFormat="1">
      <c r="A27" s="127">
        <v>24</v>
      </c>
      <c r="B27" s="37"/>
      <c r="C27" s="37"/>
      <c r="D27" s="37"/>
      <c r="E27" s="149"/>
      <c r="F27" s="59"/>
      <c r="G27" s="37"/>
      <c r="H27" s="37"/>
      <c r="I27" s="140"/>
      <c r="J27" s="140"/>
      <c r="K27" s="141"/>
      <c r="L27" s="141"/>
      <c r="M27" s="141"/>
      <c r="N27" s="141"/>
      <c r="O27" s="37"/>
      <c r="P27" s="141"/>
      <c r="Q27" s="141"/>
      <c r="R27" s="53"/>
      <c r="S27" s="53"/>
      <c r="T27" s="53"/>
      <c r="U27" s="53"/>
      <c r="V27" s="59"/>
      <c r="W27" s="142"/>
      <c r="X27" s="142"/>
    </row>
    <row r="28" spans="1:24" s="58" customFormat="1">
      <c r="A28" s="127">
        <v>25</v>
      </c>
      <c r="B28" s="37"/>
      <c r="C28" s="37"/>
      <c r="D28" s="37"/>
      <c r="E28" s="149"/>
      <c r="F28" s="59"/>
      <c r="G28" s="37"/>
      <c r="H28" s="37"/>
      <c r="I28" s="140"/>
      <c r="J28" s="140"/>
      <c r="K28" s="141"/>
      <c r="L28" s="141"/>
      <c r="M28" s="141"/>
      <c r="N28" s="141"/>
      <c r="O28" s="37"/>
      <c r="P28" s="141"/>
      <c r="Q28" s="141"/>
      <c r="R28" s="53"/>
      <c r="S28" s="53"/>
      <c r="T28" s="53"/>
      <c r="U28" s="53"/>
      <c r="V28" s="59"/>
      <c r="W28" s="142"/>
      <c r="X28" s="142"/>
    </row>
    <row r="29" spans="1:24" s="58" customFormat="1" ht="16.5" customHeight="1">
      <c r="A29" s="127">
        <v>26</v>
      </c>
      <c r="B29" s="37"/>
      <c r="C29" s="37"/>
      <c r="D29" s="37"/>
      <c r="E29" s="149"/>
      <c r="F29" s="59"/>
      <c r="G29" s="37"/>
      <c r="H29" s="37"/>
      <c r="I29" s="140"/>
      <c r="J29" s="140"/>
      <c r="K29" s="141"/>
      <c r="L29" s="141"/>
      <c r="M29" s="141"/>
      <c r="N29" s="141"/>
      <c r="O29" s="37"/>
      <c r="P29" s="141"/>
      <c r="Q29" s="141"/>
      <c r="R29" s="53"/>
      <c r="S29" s="53"/>
      <c r="T29" s="53"/>
      <c r="U29" s="53"/>
      <c r="V29" s="59"/>
      <c r="W29" s="142"/>
      <c r="X29" s="142"/>
    </row>
    <row r="30" spans="1:24" s="58" customFormat="1">
      <c r="A30" s="127">
        <v>27</v>
      </c>
      <c r="B30" s="37"/>
      <c r="C30" s="37"/>
      <c r="D30" s="37"/>
      <c r="E30" s="149"/>
      <c r="F30" s="59"/>
      <c r="G30" s="37"/>
      <c r="H30" s="37"/>
      <c r="I30" s="140"/>
      <c r="J30" s="140"/>
      <c r="K30" s="141"/>
      <c r="L30" s="141"/>
      <c r="M30" s="141"/>
      <c r="N30" s="141"/>
      <c r="O30" s="37"/>
      <c r="P30" s="141"/>
      <c r="Q30" s="141"/>
      <c r="R30" s="53"/>
      <c r="S30" s="53"/>
      <c r="T30" s="53"/>
      <c r="U30" s="53"/>
      <c r="V30" s="59"/>
      <c r="W30" s="142"/>
      <c r="X30" s="142"/>
    </row>
    <row r="31" spans="1:24" s="58" customFormat="1">
      <c r="A31" s="127">
        <v>28</v>
      </c>
      <c r="B31" s="37"/>
      <c r="C31" s="37"/>
      <c r="D31" s="37"/>
      <c r="E31" s="149"/>
      <c r="F31" s="59"/>
      <c r="G31" s="37"/>
      <c r="H31" s="37"/>
      <c r="I31" s="140"/>
      <c r="J31" s="140"/>
      <c r="K31" s="141"/>
      <c r="L31" s="141"/>
      <c r="M31" s="141"/>
      <c r="N31" s="141"/>
      <c r="O31" s="37"/>
      <c r="P31" s="141"/>
      <c r="Q31" s="141"/>
      <c r="R31" s="53"/>
      <c r="S31" s="53"/>
      <c r="T31" s="53"/>
      <c r="U31" s="53"/>
      <c r="V31" s="59"/>
      <c r="W31" s="142"/>
      <c r="X31" s="142"/>
    </row>
    <row r="32" spans="1:24" s="58" customFormat="1">
      <c r="A32" s="127">
        <v>29</v>
      </c>
      <c r="B32" s="37"/>
      <c r="C32" s="37"/>
      <c r="D32" s="37"/>
      <c r="E32" s="149"/>
      <c r="F32" s="59"/>
      <c r="G32" s="37"/>
      <c r="H32" s="37"/>
      <c r="I32" s="140"/>
      <c r="J32" s="140"/>
      <c r="K32" s="141"/>
      <c r="L32" s="141"/>
      <c r="M32" s="141"/>
      <c r="N32" s="141"/>
      <c r="O32" s="37"/>
      <c r="P32" s="141"/>
      <c r="Q32" s="141"/>
      <c r="R32" s="53"/>
      <c r="S32" s="53"/>
      <c r="T32" s="53"/>
      <c r="U32" s="53"/>
      <c r="V32" s="59"/>
      <c r="W32" s="142"/>
      <c r="X32" s="142"/>
    </row>
    <row r="33" spans="1:24" s="58" customFormat="1">
      <c r="A33" s="127">
        <v>30</v>
      </c>
      <c r="B33" s="37"/>
      <c r="C33" s="37"/>
      <c r="D33" s="37"/>
      <c r="E33" s="149"/>
      <c r="F33" s="59"/>
      <c r="G33" s="37"/>
      <c r="H33" s="37"/>
      <c r="I33" s="140"/>
      <c r="J33" s="140"/>
      <c r="K33" s="141"/>
      <c r="L33" s="141"/>
      <c r="M33" s="141"/>
      <c r="N33" s="141"/>
      <c r="O33" s="37"/>
      <c r="P33" s="141"/>
      <c r="Q33" s="141"/>
      <c r="R33" s="53"/>
      <c r="S33" s="53"/>
      <c r="T33" s="53"/>
      <c r="U33" s="53"/>
      <c r="V33" s="59"/>
      <c r="W33" s="142"/>
      <c r="X33" s="142"/>
    </row>
    <row r="34" spans="1:24" s="58" customFormat="1" ht="18" customHeight="1">
      <c r="A34" s="127">
        <v>31</v>
      </c>
      <c r="B34" s="37"/>
      <c r="C34" s="37"/>
      <c r="D34" s="37"/>
      <c r="E34" s="149"/>
      <c r="F34" s="59"/>
      <c r="G34" s="37"/>
      <c r="H34" s="37"/>
      <c r="I34" s="140"/>
      <c r="J34" s="140"/>
      <c r="K34" s="141"/>
      <c r="L34" s="141"/>
      <c r="M34" s="141"/>
      <c r="N34" s="141"/>
      <c r="O34" s="37"/>
      <c r="P34" s="141"/>
      <c r="Q34" s="141"/>
      <c r="R34" s="53"/>
      <c r="S34" s="53"/>
      <c r="T34" s="53"/>
      <c r="U34" s="53"/>
      <c r="V34" s="59"/>
      <c r="W34" s="142"/>
      <c r="X34" s="142"/>
    </row>
    <row r="35" spans="1:24" s="58" customFormat="1">
      <c r="A35" s="127">
        <v>32</v>
      </c>
      <c r="B35" s="37"/>
      <c r="C35" s="37"/>
      <c r="D35" s="37"/>
      <c r="E35" s="149"/>
      <c r="F35" s="59"/>
      <c r="G35" s="37"/>
      <c r="H35" s="37"/>
      <c r="I35" s="140"/>
      <c r="J35" s="140"/>
      <c r="K35" s="141"/>
      <c r="L35" s="141"/>
      <c r="M35" s="141"/>
      <c r="N35" s="141"/>
      <c r="O35" s="37"/>
      <c r="P35" s="141"/>
      <c r="Q35" s="141"/>
      <c r="R35" s="53"/>
      <c r="S35" s="53"/>
      <c r="T35" s="53"/>
      <c r="U35" s="53"/>
      <c r="V35" s="59"/>
      <c r="W35" s="142"/>
      <c r="X35" s="142"/>
    </row>
    <row r="36" spans="1:24" s="58" customFormat="1">
      <c r="A36" s="127">
        <v>33</v>
      </c>
      <c r="B36" s="37"/>
      <c r="C36" s="150"/>
      <c r="D36" s="150"/>
      <c r="E36" s="151"/>
      <c r="F36" s="59"/>
      <c r="G36" s="150"/>
      <c r="H36" s="150"/>
      <c r="I36" s="140"/>
      <c r="J36" s="140"/>
      <c r="K36" s="152"/>
      <c r="L36" s="141"/>
      <c r="M36" s="141"/>
      <c r="N36" s="141"/>
      <c r="O36" s="153"/>
      <c r="P36" s="141"/>
      <c r="Q36" s="141"/>
      <c r="R36" s="53"/>
      <c r="S36" s="53"/>
      <c r="T36" s="53"/>
      <c r="U36" s="53"/>
      <c r="V36" s="59"/>
      <c r="W36" s="142"/>
      <c r="X36" s="142"/>
    </row>
    <row r="37" spans="1:24" s="58" customFormat="1">
      <c r="A37" s="127">
        <v>34</v>
      </c>
      <c r="B37" s="37"/>
      <c r="C37" s="150"/>
      <c r="D37" s="150"/>
      <c r="E37" s="151"/>
      <c r="F37" s="59"/>
      <c r="G37" s="150"/>
      <c r="H37" s="150"/>
      <c r="I37" s="140"/>
      <c r="J37" s="140"/>
      <c r="K37" s="152"/>
      <c r="L37" s="141"/>
      <c r="M37" s="141"/>
      <c r="N37" s="141"/>
      <c r="O37" s="37"/>
      <c r="P37" s="141"/>
      <c r="Q37" s="141"/>
      <c r="R37" s="53"/>
      <c r="S37" s="53"/>
      <c r="T37" s="53"/>
      <c r="U37" s="53"/>
      <c r="V37" s="59"/>
      <c r="W37" s="142"/>
      <c r="X37" s="142"/>
    </row>
    <row r="38" spans="1:24" s="58" customFormat="1">
      <c r="A38" s="127">
        <v>35</v>
      </c>
      <c r="B38" s="37"/>
      <c r="C38" s="150"/>
      <c r="D38" s="150"/>
      <c r="E38" s="151"/>
      <c r="F38" s="59"/>
      <c r="G38" s="150"/>
      <c r="H38" s="150"/>
      <c r="I38" s="140"/>
      <c r="J38" s="140"/>
      <c r="K38" s="152"/>
      <c r="L38" s="141"/>
      <c r="M38" s="141"/>
      <c r="N38" s="141"/>
      <c r="O38" s="37"/>
      <c r="P38" s="141"/>
      <c r="Q38" s="141"/>
      <c r="R38" s="53"/>
      <c r="S38" s="53"/>
      <c r="T38" s="53"/>
      <c r="U38" s="53"/>
      <c r="V38" s="59"/>
      <c r="W38" s="142"/>
      <c r="X38" s="142"/>
    </row>
    <row r="39" spans="1:24" s="58" customFormat="1">
      <c r="A39" s="127">
        <v>36</v>
      </c>
      <c r="B39" s="37"/>
      <c r="C39" s="150"/>
      <c r="D39" s="150"/>
      <c r="E39" s="151"/>
      <c r="F39" s="59"/>
      <c r="G39" s="150"/>
      <c r="H39" s="150"/>
      <c r="I39" s="140"/>
      <c r="J39" s="140"/>
      <c r="K39" s="152"/>
      <c r="L39" s="141"/>
      <c r="M39" s="141"/>
      <c r="N39" s="141"/>
      <c r="O39" s="37"/>
      <c r="P39" s="141"/>
      <c r="Q39" s="141"/>
      <c r="R39" s="53"/>
      <c r="S39" s="53"/>
      <c r="T39" s="53"/>
      <c r="U39" s="53"/>
      <c r="V39" s="59"/>
      <c r="W39" s="142"/>
      <c r="X39" s="142"/>
    </row>
    <row r="40" spans="1:24" s="58" customFormat="1">
      <c r="A40" s="127">
        <v>37</v>
      </c>
      <c r="B40" s="37"/>
      <c r="C40" s="150"/>
      <c r="D40" s="150"/>
      <c r="E40" s="53"/>
      <c r="F40" s="59"/>
      <c r="G40" s="150"/>
      <c r="H40" s="150"/>
      <c r="I40" s="140"/>
      <c r="J40" s="140"/>
      <c r="K40" s="152"/>
      <c r="L40" s="141"/>
      <c r="M40" s="141"/>
      <c r="N40" s="141"/>
      <c r="O40" s="37"/>
      <c r="P40" s="141"/>
      <c r="Q40" s="141"/>
      <c r="R40" s="53"/>
      <c r="S40" s="53"/>
      <c r="T40" s="53"/>
      <c r="U40" s="53"/>
      <c r="V40" s="59"/>
      <c r="W40" s="142"/>
      <c r="X40" s="142"/>
    </row>
    <row r="41" spans="1:24" s="58" customFormat="1">
      <c r="A41" s="127">
        <v>38</v>
      </c>
      <c r="B41" s="37"/>
      <c r="C41" s="150"/>
      <c r="D41" s="150"/>
      <c r="E41" s="151"/>
      <c r="F41" s="59"/>
      <c r="G41" s="150"/>
      <c r="H41" s="150"/>
      <c r="I41" s="140"/>
      <c r="J41" s="140"/>
      <c r="K41" s="152"/>
      <c r="L41" s="141"/>
      <c r="M41" s="141"/>
      <c r="N41" s="141"/>
      <c r="O41" s="37"/>
      <c r="P41" s="141"/>
      <c r="Q41" s="141"/>
      <c r="R41" s="53"/>
      <c r="S41" s="53"/>
      <c r="T41" s="53"/>
      <c r="U41" s="53"/>
      <c r="V41" s="59"/>
      <c r="W41" s="142"/>
      <c r="X41" s="142"/>
    </row>
    <row r="42" spans="1:24" s="58" customFormat="1">
      <c r="A42" s="127">
        <v>39</v>
      </c>
      <c r="B42" s="37"/>
      <c r="C42" s="150"/>
      <c r="D42" s="150"/>
      <c r="E42" s="151"/>
      <c r="F42" s="59"/>
      <c r="G42" s="150"/>
      <c r="H42" s="150"/>
      <c r="I42" s="140"/>
      <c r="J42" s="140"/>
      <c r="K42" s="152"/>
      <c r="L42" s="141"/>
      <c r="M42" s="141"/>
      <c r="N42" s="141"/>
      <c r="O42" s="37"/>
      <c r="P42" s="141"/>
      <c r="Q42" s="141"/>
      <c r="R42" s="53"/>
      <c r="S42" s="53"/>
      <c r="T42" s="53"/>
      <c r="U42" s="53"/>
      <c r="V42" s="59"/>
      <c r="W42" s="142"/>
      <c r="X42" s="142"/>
    </row>
    <row r="43" spans="1:24" s="58" customFormat="1">
      <c r="A43" s="127">
        <v>40</v>
      </c>
      <c r="B43" s="37"/>
      <c r="C43" s="150"/>
      <c r="D43" s="150"/>
      <c r="E43" s="149"/>
      <c r="F43" s="59"/>
      <c r="G43" s="150"/>
      <c r="H43" s="150"/>
      <c r="I43" s="140"/>
      <c r="J43" s="140"/>
      <c r="K43" s="53"/>
      <c r="L43" s="141"/>
      <c r="M43" s="141"/>
      <c r="N43" s="141"/>
      <c r="O43" s="37"/>
      <c r="P43" s="141"/>
      <c r="Q43" s="141"/>
      <c r="R43" s="53"/>
      <c r="S43" s="53"/>
      <c r="T43" s="53"/>
      <c r="U43" s="53"/>
      <c r="V43" s="59"/>
      <c r="W43" s="142"/>
      <c r="X43" s="142"/>
    </row>
    <row r="44" spans="1:24" s="58" customFormat="1">
      <c r="A44" s="127">
        <v>41</v>
      </c>
      <c r="B44" s="37"/>
      <c r="C44" s="150"/>
      <c r="D44" s="150"/>
      <c r="E44" s="149"/>
      <c r="F44" s="59"/>
      <c r="G44" s="150"/>
      <c r="H44" s="150"/>
      <c r="I44" s="140"/>
      <c r="J44" s="140"/>
      <c r="K44" s="53"/>
      <c r="L44" s="141"/>
      <c r="M44" s="141"/>
      <c r="N44" s="141"/>
      <c r="O44" s="37"/>
      <c r="P44" s="141"/>
      <c r="Q44" s="141"/>
      <c r="R44" s="53"/>
      <c r="S44" s="53"/>
      <c r="T44" s="53"/>
      <c r="U44" s="53"/>
      <c r="V44" s="59"/>
      <c r="W44" s="142"/>
      <c r="X44" s="142"/>
    </row>
    <row r="45" spans="1:24" s="58" customFormat="1">
      <c r="A45" s="127">
        <v>42</v>
      </c>
      <c r="B45" s="37"/>
      <c r="C45" s="150"/>
      <c r="D45" s="150"/>
      <c r="E45" s="149"/>
      <c r="F45" s="59"/>
      <c r="G45" s="150"/>
      <c r="H45" s="150"/>
      <c r="I45" s="140"/>
      <c r="J45" s="140"/>
      <c r="K45" s="53"/>
      <c r="L45" s="141"/>
      <c r="M45" s="141"/>
      <c r="N45" s="141"/>
      <c r="O45" s="37"/>
      <c r="P45" s="141"/>
      <c r="Q45" s="141"/>
      <c r="R45" s="53"/>
      <c r="S45" s="53"/>
      <c r="T45" s="53"/>
      <c r="U45" s="53"/>
      <c r="V45" s="59"/>
      <c r="W45" s="142"/>
      <c r="X45" s="142"/>
    </row>
    <row r="46" spans="1:24" s="58" customFormat="1">
      <c r="A46" s="127">
        <v>43</v>
      </c>
      <c r="B46" s="37"/>
      <c r="C46" s="150"/>
      <c r="D46" s="150"/>
      <c r="E46" s="149"/>
      <c r="F46" s="59"/>
      <c r="G46" s="150"/>
      <c r="H46" s="150"/>
      <c r="I46" s="140"/>
      <c r="J46" s="140"/>
      <c r="K46" s="53"/>
      <c r="L46" s="141"/>
      <c r="M46" s="141"/>
      <c r="N46" s="141"/>
      <c r="O46" s="37"/>
      <c r="P46" s="141"/>
      <c r="Q46" s="141"/>
      <c r="R46" s="53"/>
      <c r="S46" s="53"/>
      <c r="T46" s="53"/>
      <c r="U46" s="53"/>
      <c r="V46" s="59"/>
      <c r="W46" s="142"/>
      <c r="X46" s="142"/>
    </row>
    <row r="47" spans="1:24" s="58" customFormat="1">
      <c r="A47" s="127">
        <v>44</v>
      </c>
      <c r="B47" s="37"/>
      <c r="C47" s="150"/>
      <c r="D47" s="150"/>
      <c r="E47" s="149"/>
      <c r="F47" s="59"/>
      <c r="G47" s="150"/>
      <c r="H47" s="150"/>
      <c r="I47" s="140"/>
      <c r="J47" s="140"/>
      <c r="K47" s="53"/>
      <c r="L47" s="141"/>
      <c r="M47" s="141"/>
      <c r="N47" s="141"/>
      <c r="O47" s="37"/>
      <c r="P47" s="141"/>
      <c r="Q47" s="141"/>
      <c r="R47" s="53"/>
      <c r="S47" s="53"/>
      <c r="T47" s="53"/>
      <c r="U47" s="53"/>
      <c r="V47" s="59"/>
      <c r="W47" s="142"/>
      <c r="X47" s="142"/>
    </row>
    <row r="48" spans="1:24" s="58" customFormat="1">
      <c r="A48" s="127">
        <v>45</v>
      </c>
      <c r="B48" s="37"/>
      <c r="C48" s="37"/>
      <c r="D48" s="37"/>
      <c r="E48" s="151"/>
      <c r="F48" s="59"/>
      <c r="G48" s="37"/>
      <c r="H48" s="37"/>
      <c r="I48" s="140"/>
      <c r="J48" s="140"/>
      <c r="K48" s="37"/>
      <c r="L48" s="141"/>
      <c r="M48" s="141"/>
      <c r="N48" s="141"/>
      <c r="O48" s="37"/>
      <c r="P48" s="141"/>
      <c r="Q48" s="141"/>
      <c r="R48" s="53"/>
      <c r="S48" s="53"/>
      <c r="T48" s="53"/>
      <c r="U48" s="53"/>
      <c r="V48" s="59"/>
      <c r="W48" s="142"/>
      <c r="X48" s="142"/>
    </row>
    <row r="49" spans="1:24" s="58" customFormat="1">
      <c r="A49" s="127">
        <v>46</v>
      </c>
      <c r="B49" s="37"/>
      <c r="C49" s="37"/>
      <c r="D49" s="37"/>
      <c r="E49" s="151"/>
      <c r="F49" s="59"/>
      <c r="G49" s="37"/>
      <c r="H49" s="37"/>
      <c r="I49" s="140"/>
      <c r="J49" s="140"/>
      <c r="K49" s="141"/>
      <c r="L49" s="141"/>
      <c r="M49" s="141"/>
      <c r="N49" s="141"/>
      <c r="O49" s="153"/>
      <c r="P49" s="141"/>
      <c r="Q49" s="141"/>
      <c r="R49" s="53"/>
      <c r="S49" s="53"/>
      <c r="T49" s="53"/>
      <c r="U49" s="53"/>
      <c r="V49" s="59"/>
      <c r="W49" s="142"/>
      <c r="X49" s="142"/>
    </row>
    <row r="50" spans="1:24" s="58" customFormat="1">
      <c r="A50" s="127"/>
      <c r="B50" s="37"/>
      <c r="C50" s="37"/>
      <c r="D50" s="150"/>
      <c r="E50" s="151"/>
      <c r="F50" s="59"/>
      <c r="G50" s="37"/>
      <c r="H50" s="37"/>
      <c r="I50" s="140"/>
      <c r="J50" s="140"/>
      <c r="K50" s="53"/>
      <c r="L50" s="141"/>
      <c r="M50" s="141"/>
      <c r="N50" s="141"/>
      <c r="O50" s="153"/>
      <c r="P50" s="141"/>
      <c r="Q50" s="141"/>
      <c r="R50" s="53"/>
      <c r="S50" s="53"/>
      <c r="T50" s="53"/>
      <c r="U50" s="53"/>
      <c r="V50" s="59"/>
      <c r="W50" s="142"/>
      <c r="X50" s="142"/>
    </row>
    <row r="51" spans="1:24" s="58" customFormat="1">
      <c r="A51" s="127"/>
      <c r="B51" s="37"/>
      <c r="C51" s="37"/>
      <c r="D51" s="150"/>
      <c r="E51" s="151"/>
      <c r="F51" s="59"/>
      <c r="G51" s="37"/>
      <c r="H51" s="37"/>
      <c r="I51" s="140"/>
      <c r="J51" s="140"/>
      <c r="K51" s="53"/>
      <c r="L51" s="141"/>
      <c r="M51" s="141"/>
      <c r="N51" s="141"/>
      <c r="O51" s="37"/>
      <c r="P51" s="141"/>
      <c r="Q51" s="141"/>
      <c r="R51" s="53"/>
      <c r="S51" s="53"/>
      <c r="T51" s="53"/>
      <c r="U51" s="53"/>
      <c r="V51" s="59"/>
      <c r="W51" s="142"/>
      <c r="X51" s="142"/>
    </row>
    <row r="52" spans="1:24" s="58" customFormat="1">
      <c r="A52" s="127"/>
      <c r="B52" s="37"/>
      <c r="C52" s="37"/>
      <c r="D52" s="37"/>
      <c r="E52" s="151"/>
      <c r="F52" s="59"/>
      <c r="G52" s="37"/>
      <c r="H52" s="37"/>
      <c r="I52" s="140"/>
      <c r="J52" s="140"/>
      <c r="K52" s="37"/>
      <c r="L52" s="141"/>
      <c r="M52" s="141"/>
      <c r="N52" s="141"/>
      <c r="O52" s="37"/>
      <c r="P52" s="141"/>
      <c r="Q52" s="141"/>
      <c r="R52" s="53"/>
      <c r="S52" s="53"/>
      <c r="T52" s="53"/>
      <c r="U52" s="53"/>
      <c r="V52" s="59"/>
      <c r="W52" s="142"/>
      <c r="X52" s="142"/>
    </row>
    <row r="53" spans="1:24" s="58" customFormat="1">
      <c r="A53" s="127"/>
      <c r="B53" s="37"/>
      <c r="C53" s="37"/>
      <c r="D53" s="37"/>
      <c r="E53" s="151"/>
      <c r="F53" s="59"/>
      <c r="G53" s="37"/>
      <c r="H53" s="37"/>
      <c r="I53" s="140"/>
      <c r="J53" s="140"/>
      <c r="K53" s="141"/>
      <c r="L53" s="141"/>
      <c r="M53" s="141"/>
      <c r="N53" s="141"/>
      <c r="O53" s="153"/>
      <c r="P53" s="141"/>
      <c r="Q53" s="141"/>
      <c r="R53" s="53"/>
      <c r="S53" s="53"/>
      <c r="T53" s="53"/>
      <c r="U53" s="53"/>
      <c r="V53" s="59"/>
      <c r="W53" s="142"/>
      <c r="X53" s="142"/>
    </row>
    <row r="54" spans="1:24" ht="71.25" customHeight="1">
      <c r="A54" s="154"/>
      <c r="B54" s="155"/>
      <c r="C54" s="156"/>
      <c r="D54" s="156"/>
      <c r="E54" s="157"/>
      <c r="G54" s="156"/>
      <c r="H54" s="156"/>
      <c r="I54" s="142"/>
      <c r="J54" s="142"/>
      <c r="K54" s="115"/>
      <c r="L54" s="158"/>
      <c r="M54" s="158"/>
      <c r="N54" s="158"/>
      <c r="O54" s="156"/>
      <c r="P54" s="157"/>
      <c r="Q54" s="157"/>
      <c r="R54" s="69"/>
    </row>
    <row r="55" spans="1:24" ht="50.25" customHeight="1">
      <c r="A55" s="154"/>
      <c r="B55" s="155"/>
      <c r="E55" s="157"/>
      <c r="I55" s="142"/>
      <c r="J55" s="142"/>
      <c r="K55" s="115"/>
      <c r="L55" s="158"/>
      <c r="M55" s="158"/>
      <c r="N55" s="158"/>
      <c r="P55" s="157"/>
      <c r="Q55" s="157"/>
      <c r="R55" s="70"/>
    </row>
    <row r="56" spans="1:24" ht="40.5" customHeight="1">
      <c r="A56" s="154"/>
      <c r="B56" s="155"/>
      <c r="E56" s="157"/>
      <c r="I56" s="142"/>
      <c r="J56" s="142"/>
      <c r="K56" s="115"/>
      <c r="L56" s="158"/>
      <c r="M56" s="158"/>
      <c r="N56" s="158"/>
      <c r="P56" s="157"/>
      <c r="Q56" s="157"/>
      <c r="R56" s="70"/>
    </row>
    <row r="57" spans="1:24" ht="37.5" customHeight="1">
      <c r="A57" s="154"/>
      <c r="B57" s="155"/>
      <c r="C57" s="156"/>
      <c r="D57" s="156"/>
      <c r="E57" s="157"/>
      <c r="G57" s="156"/>
      <c r="H57" s="156"/>
      <c r="I57" s="142"/>
      <c r="J57" s="142"/>
      <c r="K57" s="115"/>
      <c r="L57" s="158"/>
      <c r="M57" s="158"/>
      <c r="N57" s="158"/>
      <c r="O57" s="156"/>
      <c r="P57" s="157"/>
      <c r="Q57" s="157"/>
      <c r="R57" s="70"/>
    </row>
    <row r="58" spans="1:24" s="58" customFormat="1" ht="99" customHeight="1">
      <c r="A58" s="159"/>
      <c r="B58" s="155"/>
      <c r="C58" s="115"/>
      <c r="D58" s="115"/>
      <c r="E58" s="157"/>
      <c r="F58" s="13"/>
      <c r="G58" s="115"/>
      <c r="H58" s="115"/>
      <c r="I58" s="142"/>
      <c r="J58" s="142"/>
      <c r="K58" s="160"/>
      <c r="L58" s="158"/>
      <c r="M58" s="158"/>
      <c r="N58" s="158"/>
      <c r="O58" s="115"/>
      <c r="P58" s="157"/>
      <c r="Q58" s="157"/>
      <c r="R58" s="53"/>
      <c r="V58" s="13"/>
      <c r="W58" s="142"/>
      <c r="X58" s="142"/>
    </row>
    <row r="59" spans="1:24" s="58" customFormat="1" ht="37.5" customHeight="1">
      <c r="A59" s="159"/>
      <c r="B59" s="155"/>
      <c r="C59" s="115"/>
      <c r="D59" s="115"/>
      <c r="E59" s="157"/>
      <c r="F59" s="13"/>
      <c r="G59" s="115"/>
      <c r="H59" s="115"/>
      <c r="I59" s="142"/>
      <c r="J59" s="142"/>
      <c r="K59" s="160"/>
      <c r="L59" s="158"/>
      <c r="M59" s="158"/>
      <c r="N59" s="158"/>
      <c r="O59" s="115"/>
      <c r="P59" s="157"/>
      <c r="Q59" s="157"/>
      <c r="R59" s="53"/>
      <c r="V59" s="13"/>
      <c r="W59" s="142"/>
      <c r="X59" s="142"/>
    </row>
    <row r="60" spans="1:24" s="58" customFormat="1" ht="37.5" customHeight="1">
      <c r="A60" s="159"/>
      <c r="B60" s="155"/>
      <c r="C60" s="115"/>
      <c r="D60" s="115"/>
      <c r="E60" s="157"/>
      <c r="F60" s="13"/>
      <c r="G60" s="115"/>
      <c r="H60" s="115"/>
      <c r="I60" s="142"/>
      <c r="J60" s="142"/>
      <c r="K60" s="160"/>
      <c r="L60" s="158"/>
      <c r="M60" s="158"/>
      <c r="N60" s="158"/>
      <c r="O60" s="115"/>
      <c r="P60" s="157"/>
      <c r="Q60" s="157"/>
      <c r="R60" s="53"/>
      <c r="V60" s="13"/>
      <c r="W60" s="142"/>
      <c r="X60" s="142"/>
    </row>
    <row r="61" spans="1:24" s="58" customFormat="1" ht="41.25" customHeight="1">
      <c r="A61" s="159"/>
      <c r="B61" s="155"/>
      <c r="C61" s="115"/>
      <c r="D61" s="115"/>
      <c r="E61" s="157"/>
      <c r="F61" s="13"/>
      <c r="G61" s="115"/>
      <c r="H61" s="115"/>
      <c r="I61" s="142"/>
      <c r="J61" s="142"/>
      <c r="K61" s="160"/>
      <c r="L61" s="158"/>
      <c r="M61" s="158"/>
      <c r="N61" s="158"/>
      <c r="O61" s="115"/>
      <c r="P61" s="157"/>
      <c r="Q61" s="157"/>
      <c r="R61" s="53"/>
      <c r="V61" s="13"/>
      <c r="W61" s="142"/>
      <c r="X61" s="142"/>
    </row>
    <row r="62" spans="1:24" s="58" customFormat="1">
      <c r="A62" s="159"/>
      <c r="B62" s="155"/>
      <c r="C62" s="115"/>
      <c r="D62" s="115"/>
      <c r="E62" s="157"/>
      <c r="F62" s="13"/>
      <c r="G62" s="115"/>
      <c r="H62" s="115"/>
      <c r="I62" s="142"/>
      <c r="J62" s="142"/>
      <c r="K62" s="160"/>
      <c r="L62" s="158"/>
      <c r="M62" s="158"/>
      <c r="N62" s="158"/>
      <c r="O62" s="115"/>
      <c r="P62" s="157"/>
      <c r="Q62" s="157"/>
      <c r="R62" s="53"/>
      <c r="V62" s="13"/>
      <c r="W62" s="142"/>
      <c r="X62" s="142"/>
    </row>
    <row r="63" spans="1:24" s="58" customFormat="1" ht="37.5" customHeight="1">
      <c r="A63" s="159"/>
      <c r="B63" s="155"/>
      <c r="C63" s="115"/>
      <c r="D63" s="115"/>
      <c r="E63" s="157"/>
      <c r="F63" s="13"/>
      <c r="G63" s="115"/>
      <c r="H63" s="115"/>
      <c r="I63" s="142"/>
      <c r="J63" s="142"/>
      <c r="K63" s="160"/>
      <c r="L63" s="158"/>
      <c r="M63" s="158"/>
      <c r="N63" s="158"/>
      <c r="O63" s="115"/>
      <c r="P63" s="157"/>
      <c r="Q63" s="157"/>
      <c r="R63" s="53"/>
      <c r="V63" s="13"/>
      <c r="W63" s="142"/>
      <c r="X63" s="142"/>
    </row>
    <row r="64" spans="1:24" s="58" customFormat="1" ht="44.25" customHeight="1">
      <c r="A64" s="159"/>
      <c r="B64" s="155"/>
      <c r="C64" s="115"/>
      <c r="D64" s="115"/>
      <c r="E64" s="157"/>
      <c r="F64" s="13"/>
      <c r="G64" s="115"/>
      <c r="H64" s="115"/>
      <c r="I64" s="142"/>
      <c r="J64" s="142"/>
      <c r="K64" s="142"/>
      <c r="L64" s="158"/>
      <c r="M64" s="158"/>
      <c r="N64" s="158"/>
      <c r="O64" s="115"/>
      <c r="P64" s="157"/>
      <c r="Q64" s="157"/>
      <c r="R64" s="53"/>
      <c r="V64" s="13"/>
      <c r="W64" s="142"/>
      <c r="X64" s="142"/>
    </row>
    <row r="65" spans="1:24" s="58" customFormat="1" ht="60.75" customHeight="1">
      <c r="A65" s="159"/>
      <c r="B65" s="155"/>
      <c r="C65" s="115"/>
      <c r="D65" s="115"/>
      <c r="E65" s="157"/>
      <c r="F65" s="13"/>
      <c r="G65" s="115"/>
      <c r="H65" s="115"/>
      <c r="I65" s="142"/>
      <c r="J65" s="142"/>
      <c r="K65" s="160"/>
      <c r="L65" s="158"/>
      <c r="M65" s="158"/>
      <c r="N65" s="158"/>
      <c r="O65" s="115"/>
      <c r="P65" s="157"/>
      <c r="Q65" s="157"/>
      <c r="R65" s="53"/>
      <c r="V65" s="13"/>
      <c r="W65" s="142"/>
      <c r="X65" s="142"/>
    </row>
    <row r="66" spans="1:24" s="58" customFormat="1" ht="97.5" customHeight="1">
      <c r="A66" s="159"/>
      <c r="B66" s="155"/>
      <c r="C66" s="115"/>
      <c r="D66" s="115"/>
      <c r="E66" s="157"/>
      <c r="F66" s="13"/>
      <c r="G66" s="115"/>
      <c r="H66" s="115"/>
      <c r="I66" s="142"/>
      <c r="J66" s="142"/>
      <c r="K66" s="160"/>
      <c r="L66" s="158"/>
      <c r="M66" s="158"/>
      <c r="N66" s="158"/>
      <c r="O66" s="115"/>
      <c r="P66" s="157"/>
      <c r="Q66" s="157"/>
      <c r="R66" s="53"/>
      <c r="V66" s="13"/>
      <c r="W66" s="142"/>
      <c r="X66" s="142"/>
    </row>
    <row r="67" spans="1:24" s="58" customFormat="1" ht="81" customHeight="1">
      <c r="A67" s="159"/>
      <c r="B67" s="155"/>
      <c r="C67" s="115"/>
      <c r="D67" s="115"/>
      <c r="E67" s="157"/>
      <c r="F67" s="13"/>
      <c r="G67" s="115"/>
      <c r="H67" s="115"/>
      <c r="I67" s="142"/>
      <c r="J67" s="142"/>
      <c r="K67" s="160"/>
      <c r="L67" s="158"/>
      <c r="M67" s="158"/>
      <c r="N67" s="158"/>
      <c r="O67" s="115"/>
      <c r="P67" s="157"/>
      <c r="Q67" s="157"/>
      <c r="R67" s="53"/>
      <c r="V67" s="13"/>
      <c r="W67" s="142"/>
      <c r="X67" s="142"/>
    </row>
    <row r="68" spans="1:24" s="58" customFormat="1" ht="58.5" customHeight="1">
      <c r="A68" s="159"/>
      <c r="B68" s="155"/>
      <c r="C68" s="115"/>
      <c r="D68" s="115"/>
      <c r="E68" s="157"/>
      <c r="F68" s="13"/>
      <c r="G68" s="115"/>
      <c r="H68" s="115"/>
      <c r="I68" s="142"/>
      <c r="J68" s="142"/>
      <c r="K68" s="160"/>
      <c r="L68" s="158"/>
      <c r="M68" s="158"/>
      <c r="N68" s="158"/>
      <c r="O68" s="115"/>
      <c r="P68" s="157"/>
      <c r="Q68" s="157"/>
      <c r="R68" s="53"/>
      <c r="V68" s="13"/>
      <c r="W68" s="142"/>
      <c r="X68" s="142"/>
    </row>
    <row r="69" spans="1:24" s="58" customFormat="1" ht="72" customHeight="1">
      <c r="A69" s="159"/>
      <c r="B69" s="155"/>
      <c r="C69" s="115"/>
      <c r="D69" s="115"/>
      <c r="E69" s="157"/>
      <c r="F69" s="13"/>
      <c r="G69" s="115"/>
      <c r="H69" s="115"/>
      <c r="I69" s="142"/>
      <c r="J69" s="142"/>
      <c r="K69" s="160"/>
      <c r="L69" s="158"/>
      <c r="M69" s="158"/>
      <c r="N69" s="158"/>
      <c r="O69" s="115"/>
      <c r="P69" s="157"/>
      <c r="Q69" s="157"/>
      <c r="R69" s="53"/>
      <c r="V69" s="13"/>
      <c r="W69" s="142"/>
      <c r="X69" s="142"/>
    </row>
    <row r="70" spans="1:24" s="58" customFormat="1" ht="43.5" customHeight="1">
      <c r="A70" s="159"/>
      <c r="B70" s="155"/>
      <c r="C70" s="115"/>
      <c r="D70" s="115"/>
      <c r="E70" s="157"/>
      <c r="F70" s="13"/>
      <c r="G70" s="115"/>
      <c r="H70" s="115"/>
      <c r="I70" s="142"/>
      <c r="J70" s="142"/>
      <c r="K70" s="160"/>
      <c r="L70" s="158"/>
      <c r="M70" s="158"/>
      <c r="N70" s="158"/>
      <c r="O70" s="115"/>
      <c r="P70" s="157"/>
      <c r="Q70" s="157"/>
      <c r="R70" s="53"/>
      <c r="V70" s="13"/>
      <c r="W70" s="142"/>
      <c r="X70" s="142"/>
    </row>
    <row r="71" spans="1:24" s="58" customFormat="1" ht="56.25" customHeight="1">
      <c r="A71" s="159"/>
      <c r="B71" s="155"/>
      <c r="C71" s="156"/>
      <c r="D71" s="156"/>
      <c r="E71" s="157"/>
      <c r="F71" s="13"/>
      <c r="G71" s="156"/>
      <c r="H71" s="156"/>
      <c r="I71" s="159"/>
      <c r="J71" s="159"/>
      <c r="K71" s="156"/>
      <c r="L71" s="158"/>
      <c r="M71" s="158"/>
      <c r="N71" s="158"/>
      <c r="O71" s="156"/>
      <c r="P71" s="157"/>
      <c r="Q71" s="157"/>
      <c r="R71" s="53"/>
      <c r="V71" s="13"/>
      <c r="W71" s="142"/>
      <c r="X71" s="142"/>
    </row>
    <row r="72" spans="1:24" s="58" customFormat="1" ht="28.5" customHeight="1">
      <c r="A72" s="159"/>
      <c r="B72" s="155"/>
      <c r="C72" s="115"/>
      <c r="D72" s="115"/>
      <c r="E72" s="157"/>
      <c r="F72" s="13"/>
      <c r="G72" s="115"/>
      <c r="H72" s="115"/>
      <c r="I72" s="142"/>
      <c r="J72" s="142"/>
      <c r="K72" s="160"/>
      <c r="L72" s="158"/>
      <c r="M72" s="158"/>
      <c r="N72" s="158"/>
      <c r="O72" s="115"/>
      <c r="P72" s="157"/>
      <c r="Q72" s="157"/>
      <c r="R72" s="53"/>
      <c r="V72" s="13"/>
      <c r="W72" s="142"/>
      <c r="X72" s="142"/>
    </row>
    <row r="73" spans="1:24" s="58" customFormat="1" ht="47.25" customHeight="1">
      <c r="A73" s="159"/>
      <c r="B73" s="155"/>
      <c r="C73" s="115"/>
      <c r="D73" s="115"/>
      <c r="E73" s="157"/>
      <c r="F73" s="13"/>
      <c r="G73" s="115"/>
      <c r="H73" s="115"/>
      <c r="I73" s="142"/>
      <c r="J73" s="142"/>
      <c r="K73" s="160"/>
      <c r="L73" s="158"/>
      <c r="M73" s="158"/>
      <c r="N73" s="158"/>
      <c r="O73" s="115"/>
      <c r="P73" s="157"/>
      <c r="Q73" s="157"/>
      <c r="R73" s="53"/>
      <c r="V73" s="13"/>
      <c r="W73" s="142"/>
      <c r="X73" s="142"/>
    </row>
    <row r="74" spans="1:24" s="58" customFormat="1" ht="29.25" customHeight="1">
      <c r="A74" s="159"/>
      <c r="B74" s="155"/>
      <c r="C74" s="115"/>
      <c r="D74" s="115"/>
      <c r="E74" s="157"/>
      <c r="F74" s="13"/>
      <c r="G74" s="115"/>
      <c r="H74" s="115"/>
      <c r="I74" s="142"/>
      <c r="J74" s="142"/>
      <c r="K74" s="160"/>
      <c r="L74" s="158"/>
      <c r="M74" s="158"/>
      <c r="N74" s="158"/>
      <c r="O74" s="115"/>
      <c r="P74" s="157"/>
      <c r="Q74" s="157"/>
      <c r="R74" s="53"/>
      <c r="V74" s="13"/>
      <c r="W74" s="142"/>
      <c r="X74" s="142"/>
    </row>
    <row r="75" spans="1:24" s="58" customFormat="1" ht="60.75" customHeight="1">
      <c r="A75" s="159"/>
      <c r="B75" s="155"/>
      <c r="C75" s="156"/>
      <c r="D75" s="156"/>
      <c r="E75" s="157"/>
      <c r="F75" s="13"/>
      <c r="G75" s="156"/>
      <c r="H75" s="156"/>
      <c r="I75" s="142"/>
      <c r="J75" s="142"/>
      <c r="K75" s="160"/>
      <c r="L75" s="158"/>
      <c r="M75" s="158"/>
      <c r="N75" s="158"/>
      <c r="O75" s="115"/>
      <c r="P75" s="157"/>
      <c r="Q75" s="157"/>
      <c r="R75" s="53"/>
      <c r="V75" s="13"/>
      <c r="W75" s="142"/>
      <c r="X75" s="142"/>
    </row>
    <row r="76" spans="1:24" s="58" customFormat="1" ht="60" customHeight="1">
      <c r="A76" s="159"/>
      <c r="B76" s="155"/>
      <c r="C76" s="115"/>
      <c r="D76" s="115"/>
      <c r="E76" s="157"/>
      <c r="F76" s="13"/>
      <c r="G76" s="115"/>
      <c r="H76" s="115"/>
      <c r="I76" s="142"/>
      <c r="J76" s="142"/>
      <c r="K76" s="160"/>
      <c r="L76" s="158"/>
      <c r="M76" s="158"/>
      <c r="N76" s="158"/>
      <c r="O76" s="115"/>
      <c r="P76" s="157"/>
      <c r="Q76" s="157"/>
      <c r="R76" s="53"/>
      <c r="V76" s="13"/>
      <c r="W76" s="142"/>
      <c r="X76" s="142"/>
    </row>
    <row r="77" spans="1:24" s="58" customFormat="1" ht="36" customHeight="1">
      <c r="A77" s="159"/>
      <c r="B77" s="155"/>
      <c r="C77" s="115"/>
      <c r="D77" s="115"/>
      <c r="E77" s="157"/>
      <c r="F77" s="13"/>
      <c r="G77" s="115"/>
      <c r="H77" s="115"/>
      <c r="I77" s="142"/>
      <c r="J77" s="142"/>
      <c r="K77" s="160"/>
      <c r="L77" s="158"/>
      <c r="M77" s="158"/>
      <c r="N77" s="158"/>
      <c r="O77" s="115"/>
      <c r="P77" s="157"/>
      <c r="Q77" s="157"/>
      <c r="R77" s="53"/>
      <c r="V77" s="13"/>
      <c r="W77" s="142"/>
      <c r="X77" s="142"/>
    </row>
    <row r="78" spans="1:24" s="58" customFormat="1" ht="31.5" customHeight="1">
      <c r="A78" s="159"/>
      <c r="B78" s="155"/>
      <c r="C78" s="115"/>
      <c r="D78" s="115"/>
      <c r="E78" s="157"/>
      <c r="F78" s="13"/>
      <c r="G78" s="115"/>
      <c r="H78" s="115"/>
      <c r="I78" s="142"/>
      <c r="J78" s="142"/>
      <c r="K78" s="160"/>
      <c r="L78" s="158"/>
      <c r="M78" s="158"/>
      <c r="N78" s="158"/>
      <c r="O78" s="115"/>
      <c r="P78" s="157"/>
      <c r="Q78" s="157"/>
      <c r="R78" s="53"/>
      <c r="V78" s="13"/>
      <c r="W78" s="142"/>
      <c r="X78" s="142"/>
    </row>
    <row r="79" spans="1:24" s="58" customFormat="1" ht="41.25" customHeight="1">
      <c r="A79" s="159"/>
      <c r="B79" s="155"/>
      <c r="C79" s="156"/>
      <c r="D79" s="156"/>
      <c r="E79" s="157"/>
      <c r="F79" s="13"/>
      <c r="G79" s="156"/>
      <c r="H79" s="156"/>
      <c r="I79" s="159"/>
      <c r="J79" s="159"/>
      <c r="K79" s="156"/>
      <c r="L79" s="158"/>
      <c r="M79" s="158"/>
      <c r="N79" s="158"/>
      <c r="O79" s="156"/>
      <c r="P79" s="157"/>
      <c r="Q79" s="157"/>
      <c r="R79" s="53"/>
      <c r="V79" s="13"/>
      <c r="W79" s="142"/>
      <c r="X79" s="142"/>
    </row>
    <row r="80" spans="1:24" s="58" customFormat="1" ht="31.5" customHeight="1">
      <c r="A80" s="159"/>
      <c r="B80" s="155"/>
      <c r="C80" s="115"/>
      <c r="D80" s="115"/>
      <c r="E80" s="157"/>
      <c r="F80" s="13"/>
      <c r="G80" s="115"/>
      <c r="H80" s="115"/>
      <c r="I80" s="142"/>
      <c r="J80" s="142"/>
      <c r="K80" s="160"/>
      <c r="L80" s="158"/>
      <c r="M80" s="158"/>
      <c r="N80" s="158"/>
      <c r="O80" s="115"/>
      <c r="P80" s="157"/>
      <c r="Q80" s="157"/>
      <c r="R80" s="53"/>
      <c r="V80" s="13"/>
      <c r="W80" s="142"/>
      <c r="X80" s="142"/>
    </row>
    <row r="81" spans="1:24" s="58" customFormat="1" ht="42" customHeight="1">
      <c r="A81" s="159"/>
      <c r="B81" s="155"/>
      <c r="C81" s="115"/>
      <c r="D81" s="115"/>
      <c r="E81" s="157"/>
      <c r="F81" s="13"/>
      <c r="G81" s="115"/>
      <c r="H81" s="115"/>
      <c r="I81" s="142"/>
      <c r="J81" s="142"/>
      <c r="K81" s="160"/>
      <c r="L81" s="158"/>
      <c r="M81" s="158"/>
      <c r="N81" s="158"/>
      <c r="O81" s="115"/>
      <c r="P81" s="157"/>
      <c r="Q81" s="157"/>
      <c r="R81" s="53"/>
      <c r="V81" s="13"/>
      <c r="W81" s="142"/>
      <c r="X81" s="142"/>
    </row>
    <row r="82" spans="1:24" s="58" customFormat="1" ht="43.5" customHeight="1">
      <c r="A82" s="159"/>
      <c r="B82" s="155"/>
      <c r="C82" s="156"/>
      <c r="D82" s="156"/>
      <c r="E82" s="157"/>
      <c r="F82" s="13"/>
      <c r="G82" s="156"/>
      <c r="H82" s="156"/>
      <c r="I82" s="159"/>
      <c r="J82" s="159"/>
      <c r="K82" s="156"/>
      <c r="L82" s="158"/>
      <c r="M82" s="158"/>
      <c r="N82" s="158"/>
      <c r="O82" s="156"/>
      <c r="P82" s="157"/>
      <c r="Q82" s="157"/>
      <c r="R82" s="53"/>
      <c r="V82" s="13"/>
      <c r="W82" s="142"/>
      <c r="X82" s="142"/>
    </row>
    <row r="83" spans="1:24" s="58" customFormat="1" ht="82.5" customHeight="1">
      <c r="A83" s="159"/>
      <c r="B83" s="155"/>
      <c r="C83" s="115"/>
      <c r="D83" s="115"/>
      <c r="E83" s="157"/>
      <c r="F83" s="13"/>
      <c r="G83" s="115"/>
      <c r="H83" s="115"/>
      <c r="I83" s="142"/>
      <c r="J83" s="142"/>
      <c r="K83" s="160"/>
      <c r="L83" s="158"/>
      <c r="M83" s="158"/>
      <c r="N83" s="158"/>
      <c r="O83" s="115"/>
      <c r="P83" s="157"/>
      <c r="Q83" s="157"/>
      <c r="R83" s="53"/>
      <c r="V83" s="13"/>
      <c r="W83" s="142"/>
      <c r="X83" s="142"/>
    </row>
    <row r="84" spans="1:24" s="58" customFormat="1" ht="35.25" customHeight="1">
      <c r="A84" s="159"/>
      <c r="B84" s="155"/>
      <c r="C84" s="115"/>
      <c r="D84" s="115"/>
      <c r="E84" s="157"/>
      <c r="F84" s="13"/>
      <c r="G84" s="115"/>
      <c r="H84" s="115"/>
      <c r="I84" s="142"/>
      <c r="J84" s="142"/>
      <c r="K84" s="160"/>
      <c r="L84" s="158"/>
      <c r="M84" s="158"/>
      <c r="N84" s="158"/>
      <c r="O84" s="115"/>
      <c r="P84" s="157"/>
      <c r="Q84" s="157"/>
      <c r="R84" s="53"/>
      <c r="V84" s="13"/>
      <c r="W84" s="142"/>
      <c r="X84" s="142"/>
    </row>
    <row r="85" spans="1:24" s="58" customFormat="1" ht="34.5" customHeight="1">
      <c r="A85" s="159"/>
      <c r="B85" s="155"/>
      <c r="C85" s="115"/>
      <c r="D85" s="115"/>
      <c r="E85" s="157"/>
      <c r="F85" s="13"/>
      <c r="G85" s="115"/>
      <c r="H85" s="115"/>
      <c r="I85" s="142"/>
      <c r="J85" s="142"/>
      <c r="K85" s="160"/>
      <c r="L85" s="158"/>
      <c r="M85" s="158"/>
      <c r="N85" s="158"/>
      <c r="O85" s="115"/>
      <c r="P85" s="157"/>
      <c r="Q85" s="157"/>
      <c r="R85" s="53"/>
      <c r="V85" s="13"/>
      <c r="W85" s="142"/>
      <c r="X85" s="142"/>
    </row>
    <row r="86" spans="1:24" s="58" customFormat="1" ht="35.25" customHeight="1">
      <c r="A86" s="159"/>
      <c r="B86" s="155"/>
      <c r="C86" s="115"/>
      <c r="D86" s="115"/>
      <c r="E86" s="157"/>
      <c r="F86" s="13"/>
      <c r="G86" s="115"/>
      <c r="H86" s="115"/>
      <c r="I86" s="142"/>
      <c r="J86" s="142"/>
      <c r="K86" s="160"/>
      <c r="L86" s="158"/>
      <c r="M86" s="158"/>
      <c r="N86" s="158"/>
      <c r="O86" s="115"/>
      <c r="P86" s="157"/>
      <c r="Q86" s="157"/>
      <c r="R86" s="53"/>
      <c r="V86" s="13"/>
      <c r="W86" s="142"/>
      <c r="X86" s="142"/>
    </row>
    <row r="87" spans="1:24" s="58" customFormat="1" ht="30" customHeight="1">
      <c r="A87" s="159"/>
      <c r="B87" s="155"/>
      <c r="C87" s="115"/>
      <c r="D87" s="115"/>
      <c r="E87" s="161"/>
      <c r="F87" s="13"/>
      <c r="G87" s="115"/>
      <c r="H87" s="115"/>
      <c r="I87" s="142"/>
      <c r="J87" s="142"/>
      <c r="K87" s="160"/>
      <c r="L87" s="158"/>
      <c r="M87" s="158"/>
      <c r="N87" s="158"/>
      <c r="O87" s="115"/>
      <c r="P87" s="161"/>
      <c r="Q87" s="161"/>
      <c r="R87" s="53"/>
      <c r="V87" s="13"/>
      <c r="W87" s="142"/>
      <c r="X87" s="142"/>
    </row>
    <row r="88" spans="1:24" s="58" customFormat="1" ht="43.5" customHeight="1">
      <c r="A88" s="159"/>
      <c r="B88" s="155"/>
      <c r="C88" s="115"/>
      <c r="D88" s="115"/>
      <c r="E88" s="162"/>
      <c r="F88" s="13"/>
      <c r="G88" s="115"/>
      <c r="H88" s="115"/>
      <c r="I88" s="142"/>
      <c r="J88" s="142"/>
      <c r="K88" s="160"/>
      <c r="L88" s="158"/>
      <c r="M88" s="158"/>
      <c r="N88" s="158"/>
      <c r="O88" s="115"/>
      <c r="P88" s="163"/>
      <c r="Q88" s="163"/>
      <c r="R88" s="53"/>
      <c r="V88" s="13"/>
      <c r="W88" s="142"/>
      <c r="X88" s="142"/>
    </row>
    <row r="89" spans="1:24" s="58" customFormat="1" ht="68.25" customHeight="1">
      <c r="A89" s="159"/>
      <c r="B89" s="155"/>
      <c r="C89" s="155"/>
      <c r="D89" s="155"/>
      <c r="E89" s="162"/>
      <c r="F89" s="13"/>
      <c r="G89" s="155"/>
      <c r="H89" s="155"/>
      <c r="I89" s="142"/>
      <c r="J89" s="142"/>
      <c r="K89" s="160"/>
      <c r="L89" s="158"/>
      <c r="M89" s="158"/>
      <c r="N89" s="158"/>
      <c r="O89" s="115"/>
      <c r="P89" s="163"/>
      <c r="Q89" s="163"/>
      <c r="R89" s="53"/>
      <c r="V89" s="13"/>
      <c r="W89" s="142"/>
      <c r="X89" s="142"/>
    </row>
    <row r="90" spans="1:24" s="58" customFormat="1" ht="33.75" customHeight="1">
      <c r="A90" s="159"/>
      <c r="B90" s="155"/>
      <c r="C90" s="155"/>
      <c r="D90" s="155"/>
      <c r="E90" s="157"/>
      <c r="F90" s="13"/>
      <c r="G90" s="155"/>
      <c r="H90" s="155"/>
      <c r="I90" s="142"/>
      <c r="J90" s="142"/>
      <c r="K90" s="160"/>
      <c r="L90" s="158"/>
      <c r="M90" s="158"/>
      <c r="N90" s="158"/>
      <c r="O90" s="115"/>
      <c r="P90" s="157"/>
      <c r="Q90" s="157"/>
      <c r="R90" s="53"/>
      <c r="V90" s="13"/>
      <c r="W90" s="142"/>
      <c r="X90" s="142"/>
    </row>
    <row r="91" spans="1:24" s="58" customFormat="1" ht="64.5" customHeight="1">
      <c r="A91" s="159"/>
      <c r="B91" s="155"/>
      <c r="C91" s="155"/>
      <c r="D91" s="155"/>
      <c r="E91" s="157"/>
      <c r="F91" s="13"/>
      <c r="G91" s="155"/>
      <c r="H91" s="155"/>
      <c r="I91" s="142"/>
      <c r="J91" s="142"/>
      <c r="K91" s="160"/>
      <c r="L91" s="158"/>
      <c r="M91" s="158"/>
      <c r="N91" s="158"/>
      <c r="O91" s="115"/>
      <c r="P91" s="157"/>
      <c r="Q91" s="157"/>
      <c r="R91" s="53"/>
      <c r="V91" s="13"/>
      <c r="W91" s="142"/>
      <c r="X91" s="142"/>
    </row>
    <row r="92" spans="1:24" s="142" customFormat="1">
      <c r="A92" s="115"/>
      <c r="B92" s="115"/>
      <c r="C92" s="155"/>
      <c r="D92" s="155"/>
      <c r="F92" s="13"/>
      <c r="G92" s="155"/>
      <c r="H92" s="155"/>
      <c r="K92" s="160"/>
      <c r="L92" s="158"/>
      <c r="M92" s="158"/>
      <c r="N92" s="158"/>
      <c r="O92" s="115"/>
      <c r="P92" s="158"/>
      <c r="Q92" s="158"/>
      <c r="V92" s="13"/>
    </row>
    <row r="93" spans="1:24" s="142" customFormat="1">
      <c r="A93" s="115"/>
      <c r="B93" s="115"/>
      <c r="C93" s="155"/>
      <c r="D93" s="155"/>
      <c r="F93" s="13"/>
      <c r="G93" s="155"/>
      <c r="H93" s="155"/>
      <c r="K93" s="160"/>
      <c r="L93" s="158"/>
      <c r="M93" s="158"/>
      <c r="N93" s="158"/>
      <c r="O93" s="115"/>
      <c r="P93" s="158"/>
      <c r="Q93" s="158"/>
      <c r="V93" s="13"/>
    </row>
    <row r="94" spans="1:24" s="142" customFormat="1">
      <c r="A94" s="115"/>
      <c r="B94" s="115"/>
      <c r="C94" s="155"/>
      <c r="D94" s="155"/>
      <c r="F94" s="13"/>
      <c r="G94" s="155"/>
      <c r="H94" s="155"/>
      <c r="K94" s="160"/>
      <c r="L94" s="158"/>
      <c r="M94" s="158"/>
      <c r="N94" s="158"/>
      <c r="O94" s="115"/>
      <c r="P94" s="158"/>
      <c r="Q94" s="158"/>
      <c r="V94" s="13"/>
    </row>
    <row r="95" spans="1:24" s="142" customFormat="1">
      <c r="A95" s="115"/>
      <c r="B95" s="115"/>
      <c r="C95" s="155"/>
      <c r="D95" s="155"/>
      <c r="F95" s="13"/>
      <c r="G95" s="155"/>
      <c r="H95" s="155"/>
      <c r="K95" s="160"/>
      <c r="L95" s="158"/>
      <c r="M95" s="158"/>
      <c r="N95" s="158"/>
      <c r="O95" s="115"/>
      <c r="P95" s="158"/>
      <c r="Q95" s="158"/>
      <c r="V95" s="13"/>
    </row>
    <row r="96" spans="1:24" s="142" customFormat="1">
      <c r="A96" s="115"/>
      <c r="B96" s="115"/>
      <c r="C96" s="115"/>
      <c r="D96" s="115"/>
      <c r="F96" s="13"/>
      <c r="G96" s="115"/>
      <c r="H96" s="115"/>
      <c r="K96" s="160"/>
      <c r="L96" s="158"/>
      <c r="M96" s="158"/>
      <c r="N96" s="158"/>
      <c r="O96" s="115"/>
      <c r="P96" s="158"/>
      <c r="Q96" s="158"/>
      <c r="V96" s="13"/>
    </row>
    <row r="97" spans="1:22" s="142" customFormat="1">
      <c r="A97" s="115"/>
      <c r="B97" s="115"/>
      <c r="C97" s="115"/>
      <c r="D97" s="115"/>
      <c r="F97" s="13"/>
      <c r="G97" s="115"/>
      <c r="H97" s="115"/>
      <c r="K97" s="160"/>
      <c r="L97" s="158"/>
      <c r="M97" s="158"/>
      <c r="N97" s="158"/>
      <c r="O97" s="115"/>
      <c r="P97" s="158"/>
      <c r="Q97" s="158"/>
      <c r="V97" s="13"/>
    </row>
    <row r="98" spans="1:22" s="142" customFormat="1">
      <c r="A98" s="115"/>
      <c r="B98" s="115"/>
      <c r="C98" s="115"/>
      <c r="D98" s="115"/>
      <c r="F98" s="13"/>
      <c r="G98" s="115"/>
      <c r="H98" s="115"/>
      <c r="K98" s="160"/>
      <c r="L98" s="158"/>
      <c r="M98" s="158"/>
      <c r="N98" s="158"/>
      <c r="O98" s="115"/>
      <c r="P98" s="158"/>
      <c r="Q98" s="158"/>
      <c r="V98" s="13"/>
    </row>
    <row r="99" spans="1:22" s="142" customFormat="1">
      <c r="A99" s="115"/>
      <c r="B99" s="115"/>
      <c r="C99" s="115"/>
      <c r="D99" s="115"/>
      <c r="F99" s="13"/>
      <c r="G99" s="115"/>
      <c r="H99" s="115"/>
      <c r="K99" s="160"/>
      <c r="L99" s="158"/>
      <c r="M99" s="158"/>
      <c r="N99" s="158"/>
      <c r="O99" s="115"/>
      <c r="P99" s="158"/>
      <c r="Q99" s="158"/>
      <c r="V99" s="13"/>
    </row>
    <row r="100" spans="1:22" s="142" customFormat="1">
      <c r="A100" s="115"/>
      <c r="B100" s="115"/>
      <c r="C100" s="115"/>
      <c r="D100" s="115"/>
      <c r="F100" s="13"/>
      <c r="G100" s="115"/>
      <c r="H100" s="115"/>
      <c r="K100" s="160"/>
      <c r="L100" s="158"/>
      <c r="M100" s="158"/>
      <c r="N100" s="158"/>
      <c r="O100" s="115"/>
      <c r="P100" s="158"/>
      <c r="Q100" s="158"/>
      <c r="V100" s="13"/>
    </row>
    <row r="101" spans="1:22">
      <c r="E101" s="142"/>
      <c r="I101" s="142"/>
      <c r="J101" s="142"/>
      <c r="L101" s="158"/>
      <c r="M101" s="158"/>
      <c r="N101" s="158"/>
      <c r="P101" s="158"/>
      <c r="Q101" s="158"/>
    </row>
    <row r="102" spans="1:22">
      <c r="E102" s="142"/>
      <c r="I102" s="142"/>
      <c r="J102" s="142"/>
      <c r="L102" s="158"/>
      <c r="M102" s="158"/>
      <c r="N102" s="158"/>
      <c r="P102" s="158"/>
      <c r="Q102" s="158"/>
    </row>
    <row r="103" spans="1:22">
      <c r="E103" s="142"/>
      <c r="I103" s="142"/>
      <c r="J103" s="142"/>
      <c r="L103" s="158"/>
      <c r="M103" s="158"/>
      <c r="N103" s="158"/>
      <c r="P103" s="158"/>
      <c r="Q103" s="158"/>
    </row>
    <row r="104" spans="1:22">
      <c r="E104" s="142"/>
      <c r="I104" s="142"/>
      <c r="J104" s="142"/>
      <c r="L104" s="158"/>
      <c r="M104" s="158"/>
      <c r="N104" s="158"/>
      <c r="P104" s="158"/>
      <c r="Q104" s="158"/>
    </row>
    <row r="105" spans="1:22">
      <c r="E105" s="142"/>
      <c r="I105" s="142"/>
      <c r="J105" s="142"/>
      <c r="L105" s="158"/>
      <c r="M105" s="158"/>
      <c r="N105" s="158"/>
      <c r="P105" s="158"/>
      <c r="Q105" s="158"/>
    </row>
    <row r="106" spans="1:22">
      <c r="E106" s="142"/>
      <c r="I106" s="142"/>
      <c r="J106" s="142"/>
      <c r="L106" s="158"/>
      <c r="M106" s="158"/>
      <c r="N106" s="158"/>
      <c r="P106" s="158"/>
      <c r="Q106" s="158"/>
    </row>
    <row r="107" spans="1:22">
      <c r="E107" s="164"/>
      <c r="I107" s="142"/>
      <c r="J107" s="142"/>
      <c r="L107" s="158"/>
      <c r="M107" s="158"/>
      <c r="N107" s="158"/>
      <c r="P107" s="158"/>
      <c r="Q107" s="158"/>
    </row>
    <row r="108" spans="1:22">
      <c r="E108" s="142"/>
      <c r="I108" s="142"/>
      <c r="J108" s="142"/>
      <c r="L108" s="158"/>
      <c r="M108" s="158"/>
      <c r="N108" s="158"/>
      <c r="P108" s="158"/>
      <c r="Q108" s="158"/>
    </row>
    <row r="109" spans="1:22">
      <c r="E109" s="142"/>
      <c r="I109" s="142"/>
      <c r="J109" s="142"/>
      <c r="L109" s="158"/>
      <c r="M109" s="158"/>
      <c r="N109" s="158"/>
      <c r="P109" s="158"/>
      <c r="Q109" s="158"/>
    </row>
    <row r="110" spans="1:22">
      <c r="E110" s="142"/>
      <c r="I110" s="142"/>
      <c r="J110" s="142"/>
      <c r="L110" s="158"/>
      <c r="M110" s="158"/>
      <c r="N110" s="158"/>
      <c r="P110" s="158"/>
      <c r="Q110" s="158"/>
    </row>
  </sheetData>
  <pageMargins left="0.7" right="0.7" top="0.75" bottom="0.75" header="0.3" footer="0.3"/>
  <pageSetup orientation="portrait" horizontalDpi="4294967293" verticalDpi="0" r:id="rId1"/>
  <drawing r:id="rId2"/>
  <legacyDrawing r:id="rId3"/>
</worksheet>
</file>

<file path=xl/worksheets/sheet8.xml><?xml version="1.0" encoding="utf-8"?>
<worksheet xmlns="http://schemas.openxmlformats.org/spreadsheetml/2006/main" xmlns:r="http://schemas.openxmlformats.org/officeDocument/2006/relationships">
  <dimension ref="A1:Q53"/>
  <sheetViews>
    <sheetView workbookViewId="0">
      <selection activeCell="P11" sqref="P11"/>
    </sheetView>
  </sheetViews>
  <sheetFormatPr defaultRowHeight="12.75"/>
  <cols>
    <col min="1" max="2" width="9.140625" style="13"/>
    <col min="3" max="3" width="14.5703125" style="13" customWidth="1"/>
    <col min="4" max="5" width="9.140625" style="13"/>
    <col min="6" max="6" width="14.42578125" style="13" customWidth="1"/>
    <col min="7" max="7" width="9.140625" style="13"/>
    <col min="8" max="8" width="12.42578125" style="13" customWidth="1"/>
    <col min="9" max="9" width="16.140625" style="13" customWidth="1"/>
    <col min="10" max="12" width="9.140625" style="13"/>
    <col min="13" max="13" width="11.140625" style="13" customWidth="1"/>
    <col min="14" max="14" width="12.85546875" style="13" customWidth="1"/>
    <col min="15" max="15" width="10.85546875" style="13" customWidth="1"/>
    <col min="16" max="16" width="12.42578125" style="13" customWidth="1"/>
    <col min="17" max="17" width="15.5703125" style="13" customWidth="1"/>
    <col min="18" max="16384" width="9.140625" style="13"/>
  </cols>
  <sheetData>
    <row r="1" spans="1:17" ht="18" customHeight="1" thickBot="1">
      <c r="A1" s="94"/>
      <c r="B1" s="95"/>
      <c r="C1" s="70"/>
      <c r="D1" s="95"/>
      <c r="E1" s="95"/>
      <c r="F1" s="95"/>
      <c r="G1" s="95"/>
      <c r="H1" s="37"/>
      <c r="I1" s="70"/>
      <c r="J1" s="94"/>
      <c r="K1" s="94"/>
      <c r="L1" s="95"/>
      <c r="M1" s="95"/>
    </row>
    <row r="2" spans="1:17" ht="13.5" thickBot="1">
      <c r="A2" s="96"/>
      <c r="B2" s="97"/>
      <c r="C2" s="136"/>
      <c r="D2" s="97"/>
      <c r="E2" s="97"/>
      <c r="F2" s="97"/>
      <c r="G2" s="97"/>
      <c r="H2" s="134"/>
      <c r="I2" s="136"/>
      <c r="J2" s="98"/>
      <c r="K2" s="98"/>
      <c r="L2" s="97"/>
      <c r="M2" s="97"/>
      <c r="N2" s="139"/>
      <c r="O2" s="139"/>
      <c r="P2" s="139"/>
      <c r="Q2" s="139"/>
    </row>
    <row r="3" spans="1:17" s="57" customFormat="1" ht="38.25">
      <c r="A3" s="54" t="s">
        <v>42</v>
      </c>
      <c r="B3" s="54" t="s">
        <v>63</v>
      </c>
      <c r="C3" s="55" t="s">
        <v>72</v>
      </c>
      <c r="D3" s="54" t="s">
        <v>73</v>
      </c>
      <c r="E3" s="54" t="s">
        <v>74</v>
      </c>
      <c r="F3" s="54" t="s">
        <v>75</v>
      </c>
      <c r="G3" s="54" t="s">
        <v>62</v>
      </c>
      <c r="H3" s="56" t="s">
        <v>61</v>
      </c>
      <c r="I3" s="56" t="s">
        <v>200</v>
      </c>
      <c r="J3" s="54" t="s">
        <v>43</v>
      </c>
      <c r="K3" s="54" t="s">
        <v>3</v>
      </c>
      <c r="L3" s="54" t="s">
        <v>28</v>
      </c>
      <c r="M3" s="54" t="s">
        <v>76</v>
      </c>
      <c r="N3" s="54" t="s">
        <v>77</v>
      </c>
      <c r="O3" s="54" t="s">
        <v>78</v>
      </c>
      <c r="P3" s="54" t="s">
        <v>79</v>
      </c>
      <c r="Q3" s="54" t="s">
        <v>80</v>
      </c>
    </row>
    <row r="4" spans="1:17">
      <c r="A4" s="70"/>
      <c r="B4" s="53" t="s">
        <v>81</v>
      </c>
      <c r="C4" s="53"/>
      <c r="D4" s="70"/>
      <c r="E4" s="70"/>
      <c r="F4" s="70"/>
      <c r="G4" s="70"/>
      <c r="H4" s="37"/>
      <c r="I4" s="140"/>
      <c r="J4" s="70"/>
      <c r="K4" s="70"/>
      <c r="L4" s="53"/>
      <c r="M4" s="70"/>
      <c r="N4" s="127"/>
      <c r="O4" s="127"/>
      <c r="P4" s="127"/>
      <c r="Q4" s="127"/>
    </row>
    <row r="5" spans="1:17">
      <c r="A5" s="70"/>
      <c r="B5" s="70"/>
      <c r="C5" s="53"/>
      <c r="D5" s="70"/>
      <c r="E5" s="70"/>
      <c r="F5" s="70"/>
      <c r="G5" s="70"/>
      <c r="H5" s="37"/>
      <c r="I5" s="140"/>
      <c r="J5" s="70"/>
      <c r="K5" s="70"/>
      <c r="L5" s="70"/>
      <c r="M5" s="70"/>
      <c r="N5" s="53"/>
      <c r="O5" s="53"/>
      <c r="P5" s="53"/>
      <c r="Q5" s="53"/>
    </row>
    <row r="6" spans="1:17">
      <c r="A6" s="70"/>
      <c r="B6" s="70"/>
      <c r="C6" s="53"/>
      <c r="D6" s="70"/>
      <c r="E6" s="70"/>
      <c r="F6" s="70"/>
      <c r="G6" s="70"/>
      <c r="H6" s="37"/>
      <c r="I6" s="140"/>
      <c r="J6" s="70"/>
      <c r="K6" s="70"/>
      <c r="L6" s="70"/>
      <c r="M6" s="70"/>
      <c r="N6" s="53"/>
      <c r="O6" s="53"/>
      <c r="P6" s="53"/>
      <c r="Q6" s="53"/>
    </row>
    <row r="7" spans="1:17">
      <c r="A7" s="70"/>
      <c r="B7" s="70"/>
      <c r="C7" s="140"/>
      <c r="D7" s="70"/>
      <c r="E7" s="70"/>
      <c r="F7" s="70"/>
      <c r="G7" s="70"/>
      <c r="H7" s="37"/>
      <c r="I7" s="140"/>
      <c r="J7" s="70"/>
      <c r="K7" s="70"/>
      <c r="L7" s="70"/>
      <c r="M7" s="70"/>
      <c r="N7" s="53"/>
      <c r="O7" s="53"/>
      <c r="P7" s="53"/>
      <c r="Q7" s="53"/>
    </row>
    <row r="8" spans="1:17">
      <c r="A8" s="70"/>
      <c r="B8" s="70"/>
      <c r="C8" s="53"/>
      <c r="D8" s="70"/>
      <c r="E8" s="70"/>
      <c r="F8" s="70"/>
      <c r="G8" s="70"/>
      <c r="H8" s="37"/>
      <c r="I8" s="140"/>
      <c r="J8" s="70"/>
      <c r="K8" s="70"/>
      <c r="L8" s="70"/>
      <c r="M8" s="70"/>
      <c r="N8" s="53"/>
      <c r="O8" s="53"/>
      <c r="P8" s="53"/>
      <c r="Q8" s="53"/>
    </row>
    <row r="9" spans="1:17">
      <c r="A9" s="70"/>
      <c r="B9" s="70"/>
      <c r="C9" s="53"/>
      <c r="D9" s="70"/>
      <c r="E9" s="70"/>
      <c r="F9" s="70"/>
      <c r="G9" s="70"/>
      <c r="H9" s="37"/>
      <c r="I9" s="140"/>
      <c r="J9" s="70"/>
      <c r="K9" s="70"/>
      <c r="L9" s="70"/>
      <c r="M9" s="70"/>
      <c r="N9" s="53"/>
      <c r="O9" s="53"/>
      <c r="P9" s="53"/>
      <c r="Q9" s="53"/>
    </row>
    <row r="10" spans="1:17">
      <c r="A10" s="70"/>
      <c r="B10" s="70"/>
      <c r="C10" s="53"/>
      <c r="D10" s="70"/>
      <c r="E10" s="70"/>
      <c r="F10" s="70"/>
      <c r="G10" s="70"/>
      <c r="H10" s="37"/>
      <c r="I10" s="140"/>
      <c r="J10" s="70"/>
      <c r="K10" s="70"/>
      <c r="L10" s="70"/>
      <c r="M10" s="70"/>
      <c r="N10" s="127"/>
      <c r="O10" s="127"/>
      <c r="P10" s="127"/>
      <c r="Q10" s="127"/>
    </row>
    <row r="11" spans="1:17">
      <c r="A11" s="70"/>
      <c r="B11" s="70"/>
      <c r="C11" s="53"/>
      <c r="D11" s="70"/>
      <c r="E11" s="70"/>
      <c r="F11" s="70"/>
      <c r="G11" s="70"/>
      <c r="H11" s="37"/>
      <c r="I11" s="140"/>
      <c r="J11" s="70"/>
      <c r="K11" s="70"/>
      <c r="L11" s="70"/>
      <c r="M11" s="70"/>
      <c r="N11" s="64"/>
      <c r="O11" s="64"/>
      <c r="P11" s="64"/>
      <c r="Q11" s="64"/>
    </row>
    <row r="12" spans="1:17">
      <c r="A12" s="70"/>
      <c r="B12" s="70"/>
      <c r="C12" s="53"/>
      <c r="D12" s="70"/>
      <c r="E12" s="70"/>
      <c r="F12" s="70"/>
      <c r="G12" s="70"/>
      <c r="H12" s="37"/>
      <c r="I12" s="128"/>
      <c r="J12" s="70"/>
      <c r="K12" s="70"/>
      <c r="L12" s="70"/>
      <c r="M12" s="70"/>
      <c r="N12" s="64"/>
      <c r="O12" s="64"/>
      <c r="P12" s="64"/>
      <c r="Q12" s="64"/>
    </row>
    <row r="13" spans="1:17">
      <c r="A13" s="70"/>
      <c r="B13" s="70"/>
      <c r="C13" s="53"/>
      <c r="D13" s="70"/>
      <c r="E13" s="70"/>
      <c r="F13" s="70"/>
      <c r="G13" s="70"/>
      <c r="H13" s="37"/>
      <c r="I13" s="140"/>
      <c r="J13" s="70"/>
      <c r="K13" s="70"/>
      <c r="L13" s="70"/>
      <c r="M13" s="70"/>
      <c r="N13" s="64"/>
      <c r="O13" s="64"/>
      <c r="P13" s="64"/>
      <c r="Q13" s="64"/>
    </row>
    <row r="14" spans="1:17">
      <c r="A14" s="70"/>
      <c r="B14" s="70"/>
      <c r="C14" s="140"/>
      <c r="D14" s="70"/>
      <c r="E14" s="70"/>
      <c r="F14" s="70"/>
      <c r="G14" s="70"/>
      <c r="H14" s="37"/>
      <c r="I14" s="141"/>
      <c r="J14" s="70"/>
      <c r="K14" s="70"/>
      <c r="L14" s="70"/>
      <c r="M14" s="70"/>
      <c r="N14" s="64"/>
      <c r="O14" s="64"/>
      <c r="P14" s="64"/>
      <c r="Q14" s="64"/>
    </row>
    <row r="15" spans="1:17">
      <c r="A15" s="70"/>
      <c r="B15" s="70"/>
      <c r="C15" s="141"/>
      <c r="D15" s="70"/>
      <c r="E15" s="70"/>
      <c r="F15" s="70"/>
      <c r="G15" s="70"/>
      <c r="H15" s="37"/>
      <c r="I15" s="140"/>
      <c r="J15" s="70"/>
      <c r="K15" s="70"/>
      <c r="L15" s="70"/>
      <c r="M15" s="70"/>
      <c r="N15" s="64"/>
      <c r="O15" s="64"/>
      <c r="P15" s="64"/>
      <c r="Q15" s="64"/>
    </row>
    <row r="16" spans="1:17">
      <c r="A16" s="70"/>
      <c r="B16" s="70"/>
      <c r="C16" s="141"/>
      <c r="D16" s="70"/>
      <c r="E16" s="70"/>
      <c r="F16" s="70"/>
      <c r="G16" s="70"/>
      <c r="H16" s="37"/>
      <c r="I16" s="140"/>
      <c r="J16" s="70"/>
      <c r="K16" s="70"/>
      <c r="L16" s="70"/>
      <c r="M16" s="70"/>
      <c r="N16" s="64"/>
      <c r="O16" s="64"/>
      <c r="P16" s="64"/>
      <c r="Q16" s="64"/>
    </row>
    <row r="17" spans="1:17">
      <c r="A17" s="166"/>
      <c r="B17" s="166"/>
      <c r="C17" s="141"/>
      <c r="D17" s="166"/>
      <c r="E17" s="166"/>
      <c r="F17" s="166"/>
      <c r="G17" s="166"/>
      <c r="H17" s="37"/>
      <c r="I17" s="140"/>
      <c r="J17" s="166"/>
      <c r="K17" s="166"/>
      <c r="L17" s="166"/>
      <c r="M17" s="166"/>
      <c r="N17" s="64"/>
      <c r="O17" s="64"/>
      <c r="P17" s="64"/>
      <c r="Q17" s="64"/>
    </row>
    <row r="18" spans="1:17">
      <c r="A18" s="166"/>
      <c r="B18" s="166"/>
      <c r="C18" s="141"/>
      <c r="D18" s="166"/>
      <c r="E18" s="166"/>
      <c r="F18" s="166"/>
      <c r="G18" s="166"/>
      <c r="H18" s="37"/>
      <c r="I18" s="140"/>
      <c r="J18" s="166"/>
      <c r="K18" s="166"/>
      <c r="L18" s="166"/>
      <c r="M18" s="166"/>
      <c r="N18" s="64"/>
      <c r="O18" s="64"/>
      <c r="P18" s="64"/>
      <c r="Q18" s="64"/>
    </row>
    <row r="19" spans="1:17">
      <c r="A19" s="166"/>
      <c r="B19" s="166"/>
      <c r="C19" s="167"/>
      <c r="D19" s="166"/>
      <c r="E19" s="166"/>
      <c r="F19" s="166"/>
      <c r="G19" s="166"/>
      <c r="H19" s="37"/>
      <c r="I19" s="140"/>
      <c r="J19" s="166"/>
      <c r="K19" s="166"/>
      <c r="L19" s="166"/>
      <c r="M19" s="166"/>
      <c r="N19" s="59"/>
      <c r="O19" s="59"/>
      <c r="P19" s="59"/>
      <c r="Q19" s="59"/>
    </row>
    <row r="20" spans="1:17">
      <c r="A20" s="166"/>
      <c r="B20" s="166"/>
      <c r="C20" s="141"/>
      <c r="D20" s="166"/>
      <c r="E20" s="166"/>
      <c r="F20" s="166"/>
      <c r="G20" s="166"/>
      <c r="H20" s="37"/>
      <c r="I20" s="140"/>
      <c r="J20" s="166"/>
      <c r="K20" s="166"/>
      <c r="L20" s="166"/>
      <c r="M20" s="166"/>
      <c r="N20" s="59"/>
      <c r="O20" s="59"/>
      <c r="P20" s="59"/>
      <c r="Q20" s="59"/>
    </row>
    <row r="21" spans="1:17">
      <c r="A21" s="166"/>
      <c r="B21" s="166"/>
      <c r="C21" s="146"/>
      <c r="D21" s="166"/>
      <c r="E21" s="166"/>
      <c r="F21" s="166"/>
      <c r="G21" s="166"/>
      <c r="H21" s="143"/>
      <c r="I21" s="145"/>
      <c r="J21" s="166"/>
      <c r="K21" s="166"/>
      <c r="L21" s="166"/>
      <c r="M21" s="166"/>
      <c r="N21" s="59"/>
      <c r="O21" s="59"/>
      <c r="P21" s="59"/>
      <c r="Q21" s="59"/>
    </row>
    <row r="22" spans="1:17">
      <c r="A22" s="166"/>
      <c r="B22" s="166"/>
      <c r="C22" s="141"/>
      <c r="D22" s="166"/>
      <c r="E22" s="166"/>
      <c r="F22" s="166"/>
      <c r="G22" s="166"/>
      <c r="H22" s="37"/>
      <c r="I22" s="140"/>
      <c r="J22" s="166"/>
      <c r="K22" s="166"/>
      <c r="L22" s="166"/>
      <c r="M22" s="166"/>
      <c r="N22" s="59"/>
      <c r="O22" s="59"/>
      <c r="P22" s="59"/>
      <c r="Q22" s="59"/>
    </row>
    <row r="23" spans="1:17">
      <c r="A23" s="166"/>
      <c r="B23" s="166"/>
      <c r="C23" s="141"/>
      <c r="D23" s="166"/>
      <c r="E23" s="166"/>
      <c r="F23" s="166"/>
      <c r="G23" s="166"/>
      <c r="H23" s="37"/>
      <c r="I23" s="140"/>
      <c r="J23" s="166"/>
      <c r="K23" s="166"/>
      <c r="L23" s="166"/>
      <c r="M23" s="166"/>
      <c r="N23" s="59"/>
      <c r="O23" s="59"/>
      <c r="P23" s="59"/>
      <c r="Q23" s="59"/>
    </row>
    <row r="24" spans="1:17">
      <c r="A24" s="166"/>
      <c r="B24" s="166"/>
      <c r="C24" s="141"/>
      <c r="D24" s="166"/>
      <c r="E24" s="166"/>
      <c r="F24" s="166"/>
      <c r="G24" s="166"/>
      <c r="H24" s="37"/>
      <c r="I24" s="140"/>
      <c r="J24" s="166"/>
      <c r="K24" s="166"/>
      <c r="L24" s="166"/>
      <c r="M24" s="166"/>
      <c r="N24" s="59"/>
      <c r="O24" s="59"/>
      <c r="P24" s="59"/>
      <c r="Q24" s="59"/>
    </row>
    <row r="25" spans="1:17">
      <c r="A25" s="166"/>
      <c r="B25" s="166"/>
      <c r="C25" s="141"/>
      <c r="D25" s="166"/>
      <c r="E25" s="166"/>
      <c r="F25" s="166"/>
      <c r="G25" s="166"/>
      <c r="H25" s="37"/>
      <c r="I25" s="140"/>
      <c r="J25" s="166"/>
      <c r="K25" s="166"/>
      <c r="L25" s="166"/>
      <c r="M25" s="166"/>
      <c r="N25" s="59"/>
      <c r="O25" s="59"/>
      <c r="P25" s="59"/>
      <c r="Q25" s="59"/>
    </row>
    <row r="26" spans="1:17">
      <c r="A26" s="166"/>
      <c r="B26" s="166"/>
      <c r="C26" s="141"/>
      <c r="D26" s="166"/>
      <c r="E26" s="166"/>
      <c r="F26" s="166"/>
      <c r="G26" s="166"/>
      <c r="H26" s="37"/>
      <c r="I26" s="140"/>
      <c r="J26" s="166"/>
      <c r="K26" s="166"/>
      <c r="L26" s="166"/>
      <c r="M26" s="166"/>
      <c r="N26" s="59"/>
      <c r="O26" s="59"/>
      <c r="P26" s="59"/>
      <c r="Q26" s="59"/>
    </row>
    <row r="27" spans="1:17">
      <c r="A27" s="166"/>
      <c r="B27" s="166"/>
      <c r="C27" s="53"/>
      <c r="D27" s="166"/>
      <c r="E27" s="166"/>
      <c r="F27" s="166"/>
      <c r="G27" s="166"/>
      <c r="H27" s="37"/>
      <c r="I27" s="140"/>
      <c r="J27" s="166"/>
      <c r="K27" s="166"/>
      <c r="L27" s="166"/>
      <c r="M27" s="166"/>
      <c r="N27" s="59"/>
      <c r="O27" s="59"/>
      <c r="P27" s="59"/>
      <c r="Q27" s="59"/>
    </row>
    <row r="28" spans="1:17">
      <c r="A28" s="166"/>
      <c r="B28" s="166"/>
      <c r="C28" s="53"/>
      <c r="D28" s="166"/>
      <c r="E28" s="166"/>
      <c r="F28" s="166"/>
      <c r="G28" s="166"/>
      <c r="H28" s="37"/>
      <c r="I28" s="140"/>
      <c r="J28" s="166"/>
      <c r="K28" s="166"/>
      <c r="L28" s="166"/>
      <c r="M28" s="166"/>
      <c r="N28" s="59"/>
      <c r="O28" s="59"/>
      <c r="P28" s="59"/>
      <c r="Q28" s="59"/>
    </row>
    <row r="29" spans="1:17">
      <c r="A29" s="166"/>
      <c r="B29" s="166"/>
      <c r="C29" s="53"/>
      <c r="D29" s="166"/>
      <c r="E29" s="166"/>
      <c r="F29" s="166"/>
      <c r="G29" s="166"/>
      <c r="H29" s="37"/>
      <c r="I29" s="140"/>
      <c r="J29" s="166"/>
      <c r="K29" s="166"/>
      <c r="L29" s="166"/>
      <c r="M29" s="166"/>
      <c r="N29" s="59"/>
      <c r="O29" s="59"/>
      <c r="P29" s="59"/>
      <c r="Q29" s="59"/>
    </row>
    <row r="30" spans="1:17">
      <c r="A30" s="166"/>
      <c r="B30" s="166"/>
      <c r="C30" s="141"/>
      <c r="D30" s="166"/>
      <c r="E30" s="166"/>
      <c r="F30" s="166"/>
      <c r="G30" s="166"/>
      <c r="H30" s="37"/>
      <c r="I30" s="140"/>
      <c r="J30" s="166"/>
      <c r="K30" s="166"/>
      <c r="L30" s="166"/>
      <c r="M30" s="166"/>
      <c r="N30" s="59"/>
      <c r="O30" s="59"/>
      <c r="P30" s="59"/>
      <c r="Q30" s="59"/>
    </row>
    <row r="31" spans="1:17">
      <c r="A31" s="166"/>
      <c r="B31" s="166"/>
      <c r="C31" s="141"/>
      <c r="D31" s="166"/>
      <c r="E31" s="166"/>
      <c r="F31" s="166"/>
      <c r="G31" s="166"/>
      <c r="H31" s="37"/>
      <c r="I31" s="140"/>
      <c r="J31" s="166"/>
      <c r="K31" s="166"/>
      <c r="L31" s="166"/>
      <c r="M31" s="166"/>
      <c r="N31" s="59"/>
      <c r="O31" s="59"/>
      <c r="P31" s="59"/>
      <c r="Q31" s="59"/>
    </row>
    <row r="32" spans="1:17">
      <c r="A32" s="166"/>
      <c r="B32" s="166"/>
      <c r="C32" s="141"/>
      <c r="D32" s="166"/>
      <c r="E32" s="166"/>
      <c r="F32" s="166"/>
      <c r="G32" s="166"/>
      <c r="H32" s="37"/>
      <c r="I32" s="140"/>
      <c r="J32" s="166"/>
      <c r="K32" s="166"/>
      <c r="L32" s="166"/>
      <c r="M32" s="166"/>
      <c r="N32" s="59"/>
      <c r="O32" s="59"/>
      <c r="P32" s="59"/>
      <c r="Q32" s="59"/>
    </row>
    <row r="33" spans="1:17">
      <c r="A33" s="166"/>
      <c r="B33" s="166"/>
      <c r="C33" s="53"/>
      <c r="D33" s="166"/>
      <c r="E33" s="166"/>
      <c r="F33" s="166"/>
      <c r="G33" s="166"/>
      <c r="H33" s="37"/>
      <c r="I33" s="140"/>
      <c r="J33" s="166"/>
      <c r="K33" s="166"/>
      <c r="L33" s="166"/>
      <c r="M33" s="166"/>
      <c r="N33" s="59"/>
      <c r="O33" s="59"/>
      <c r="P33" s="59"/>
      <c r="Q33" s="59"/>
    </row>
    <row r="34" spans="1:17">
      <c r="A34" s="166"/>
      <c r="B34" s="166"/>
      <c r="C34" s="168"/>
      <c r="D34" s="166"/>
      <c r="E34" s="166"/>
      <c r="F34" s="166"/>
      <c r="G34" s="166"/>
      <c r="H34" s="37"/>
      <c r="I34" s="140"/>
      <c r="J34" s="166"/>
      <c r="K34" s="166"/>
      <c r="L34" s="166"/>
      <c r="M34" s="166"/>
      <c r="N34" s="59"/>
      <c r="O34" s="59"/>
      <c r="P34" s="59"/>
      <c r="Q34" s="59"/>
    </row>
    <row r="35" spans="1:17">
      <c r="A35" s="166"/>
      <c r="B35" s="166"/>
      <c r="C35" s="53"/>
      <c r="D35" s="166"/>
      <c r="E35" s="166"/>
      <c r="F35" s="166"/>
      <c r="G35" s="166"/>
      <c r="H35" s="37"/>
      <c r="I35" s="140"/>
      <c r="J35" s="166"/>
      <c r="K35" s="166"/>
      <c r="L35" s="166"/>
      <c r="M35" s="166"/>
      <c r="N35" s="59"/>
      <c r="O35" s="59"/>
      <c r="P35" s="59"/>
      <c r="Q35" s="59"/>
    </row>
    <row r="36" spans="1:17">
      <c r="A36" s="166"/>
      <c r="B36" s="166"/>
      <c r="C36" s="141"/>
      <c r="D36" s="166"/>
      <c r="E36" s="166"/>
      <c r="F36" s="166"/>
      <c r="G36" s="166"/>
      <c r="H36" s="150"/>
      <c r="I36" s="140"/>
      <c r="J36" s="166"/>
      <c r="K36" s="166"/>
      <c r="L36" s="166"/>
      <c r="M36" s="166"/>
      <c r="N36" s="59"/>
      <c r="O36" s="59"/>
      <c r="P36" s="59"/>
      <c r="Q36" s="59"/>
    </row>
    <row r="37" spans="1:17">
      <c r="A37" s="166"/>
      <c r="B37" s="166"/>
      <c r="C37" s="141"/>
      <c r="D37" s="166"/>
      <c r="E37" s="166"/>
      <c r="F37" s="166"/>
      <c r="G37" s="166"/>
      <c r="H37" s="150"/>
      <c r="I37" s="140"/>
      <c r="J37" s="166"/>
      <c r="K37" s="166"/>
      <c r="L37" s="166"/>
      <c r="M37" s="166"/>
      <c r="N37" s="59"/>
      <c r="O37" s="59"/>
      <c r="P37" s="59"/>
      <c r="Q37" s="59"/>
    </row>
    <row r="38" spans="1:17">
      <c r="A38" s="166"/>
      <c r="B38" s="166"/>
      <c r="C38" s="141"/>
      <c r="D38" s="166"/>
      <c r="E38" s="166"/>
      <c r="F38" s="166"/>
      <c r="G38" s="166"/>
      <c r="H38" s="150"/>
      <c r="I38" s="140"/>
      <c r="J38" s="166"/>
      <c r="K38" s="166"/>
      <c r="L38" s="166"/>
      <c r="M38" s="166"/>
      <c r="N38" s="59"/>
      <c r="O38" s="59"/>
      <c r="P38" s="59"/>
      <c r="Q38" s="59"/>
    </row>
    <row r="39" spans="1:17">
      <c r="A39" s="166"/>
      <c r="B39" s="166"/>
      <c r="C39" s="141"/>
      <c r="D39" s="166"/>
      <c r="E39" s="166"/>
      <c r="F39" s="166"/>
      <c r="G39" s="166"/>
      <c r="H39" s="150"/>
      <c r="I39" s="140"/>
      <c r="J39" s="166"/>
      <c r="K39" s="166"/>
      <c r="L39" s="166"/>
      <c r="M39" s="166"/>
      <c r="N39" s="59"/>
      <c r="O39" s="59"/>
      <c r="P39" s="59"/>
      <c r="Q39" s="59"/>
    </row>
    <row r="40" spans="1:17">
      <c r="A40" s="166"/>
      <c r="B40" s="166"/>
      <c r="C40" s="141"/>
      <c r="D40" s="166"/>
      <c r="E40" s="166"/>
      <c r="F40" s="166"/>
      <c r="G40" s="166"/>
      <c r="H40" s="150"/>
      <c r="I40" s="140"/>
      <c r="J40" s="166"/>
      <c r="K40" s="166"/>
      <c r="L40" s="166"/>
      <c r="M40" s="166"/>
      <c r="N40" s="59"/>
      <c r="O40" s="59"/>
      <c r="P40" s="59"/>
      <c r="Q40" s="59"/>
    </row>
    <row r="41" spans="1:17">
      <c r="A41" s="166"/>
      <c r="B41" s="166"/>
      <c r="C41" s="141"/>
      <c r="D41" s="166"/>
      <c r="E41" s="166"/>
      <c r="F41" s="166"/>
      <c r="G41" s="166"/>
      <c r="H41" s="150"/>
      <c r="I41" s="140"/>
      <c r="J41" s="166"/>
      <c r="K41" s="166"/>
      <c r="L41" s="166"/>
      <c r="M41" s="166"/>
      <c r="N41" s="59"/>
      <c r="O41" s="59"/>
      <c r="P41" s="59"/>
      <c r="Q41" s="59"/>
    </row>
    <row r="42" spans="1:17">
      <c r="A42" s="166"/>
      <c r="B42" s="166"/>
      <c r="C42" s="141"/>
      <c r="D42" s="166"/>
      <c r="E42" s="166"/>
      <c r="F42" s="166"/>
      <c r="G42" s="166"/>
      <c r="H42" s="150"/>
      <c r="I42" s="140"/>
      <c r="J42" s="166"/>
      <c r="K42" s="166"/>
      <c r="L42" s="166"/>
      <c r="M42" s="166"/>
      <c r="N42" s="59"/>
      <c r="O42" s="59"/>
      <c r="P42" s="59"/>
      <c r="Q42" s="59"/>
    </row>
    <row r="43" spans="1:17">
      <c r="A43" s="166"/>
      <c r="B43" s="166"/>
      <c r="C43" s="141"/>
      <c r="D43" s="166"/>
      <c r="E43" s="166"/>
      <c r="F43" s="166"/>
      <c r="G43" s="166"/>
      <c r="H43" s="150"/>
      <c r="I43" s="140"/>
      <c r="J43" s="166"/>
      <c r="K43" s="166"/>
      <c r="L43" s="166"/>
      <c r="M43" s="166"/>
      <c r="N43" s="59"/>
      <c r="O43" s="59"/>
      <c r="P43" s="59"/>
      <c r="Q43" s="59"/>
    </row>
    <row r="44" spans="1:17">
      <c r="A44" s="166"/>
      <c r="B44" s="166"/>
      <c r="C44" s="141"/>
      <c r="D44" s="166"/>
      <c r="E44" s="166"/>
      <c r="F44" s="166"/>
      <c r="G44" s="166"/>
      <c r="H44" s="150"/>
      <c r="I44" s="140"/>
      <c r="J44" s="166"/>
      <c r="K44" s="166"/>
      <c r="L44" s="166"/>
      <c r="M44" s="166"/>
      <c r="N44" s="59"/>
      <c r="O44" s="59"/>
      <c r="P44" s="59"/>
      <c r="Q44" s="59"/>
    </row>
    <row r="45" spans="1:17">
      <c r="A45" s="166"/>
      <c r="B45" s="166"/>
      <c r="C45" s="141"/>
      <c r="D45" s="166"/>
      <c r="E45" s="166"/>
      <c r="F45" s="166"/>
      <c r="G45" s="166"/>
      <c r="H45" s="150"/>
      <c r="I45" s="140"/>
      <c r="J45" s="166"/>
      <c r="K45" s="166"/>
      <c r="L45" s="166"/>
      <c r="M45" s="166"/>
      <c r="N45" s="59"/>
      <c r="O45" s="59"/>
      <c r="P45" s="59"/>
      <c r="Q45" s="59"/>
    </row>
    <row r="46" spans="1:17">
      <c r="A46" s="166"/>
      <c r="B46" s="166"/>
      <c r="C46" s="141"/>
      <c r="D46" s="166"/>
      <c r="E46" s="166"/>
      <c r="F46" s="166"/>
      <c r="G46" s="166"/>
      <c r="H46" s="150"/>
      <c r="I46" s="140"/>
      <c r="J46" s="166"/>
      <c r="K46" s="166"/>
      <c r="L46" s="166"/>
      <c r="M46" s="166"/>
      <c r="N46" s="59"/>
      <c r="O46" s="59"/>
      <c r="P46" s="59"/>
      <c r="Q46" s="59"/>
    </row>
    <row r="47" spans="1:17">
      <c r="A47" s="166"/>
      <c r="B47" s="166"/>
      <c r="C47" s="141"/>
      <c r="D47" s="166"/>
      <c r="E47" s="166"/>
      <c r="F47" s="166"/>
      <c r="G47" s="166"/>
      <c r="H47" s="150"/>
      <c r="I47" s="140"/>
      <c r="J47" s="166"/>
      <c r="K47" s="166"/>
      <c r="L47" s="166"/>
      <c r="M47" s="166"/>
      <c r="N47" s="59"/>
      <c r="O47" s="59"/>
      <c r="P47" s="59"/>
      <c r="Q47" s="59"/>
    </row>
    <row r="48" spans="1:17">
      <c r="A48" s="166"/>
      <c r="B48" s="166"/>
      <c r="C48" s="141"/>
      <c r="D48" s="166"/>
      <c r="E48" s="166"/>
      <c r="F48" s="166"/>
      <c r="G48" s="166"/>
      <c r="H48" s="37"/>
      <c r="I48" s="140"/>
      <c r="J48" s="166"/>
      <c r="K48" s="166"/>
      <c r="L48" s="166"/>
      <c r="M48" s="166"/>
      <c r="N48" s="59"/>
      <c r="O48" s="59"/>
      <c r="P48" s="59"/>
      <c r="Q48" s="59"/>
    </row>
    <row r="49" spans="1:17">
      <c r="A49" s="166"/>
      <c r="B49" s="166"/>
      <c r="C49" s="141"/>
      <c r="D49" s="166"/>
      <c r="E49" s="166"/>
      <c r="F49" s="166"/>
      <c r="G49" s="166"/>
      <c r="H49" s="37"/>
      <c r="I49" s="140"/>
      <c r="J49" s="166"/>
      <c r="K49" s="166"/>
      <c r="L49" s="166"/>
      <c r="M49" s="166"/>
      <c r="N49" s="59"/>
      <c r="O49" s="59"/>
      <c r="P49" s="59"/>
      <c r="Q49" s="59"/>
    </row>
    <row r="50" spans="1:17">
      <c r="A50" s="166"/>
      <c r="B50" s="166"/>
      <c r="C50" s="141"/>
      <c r="D50" s="166"/>
      <c r="E50" s="166"/>
      <c r="F50" s="166"/>
      <c r="G50" s="166"/>
      <c r="H50" s="37"/>
      <c r="I50" s="140"/>
      <c r="J50" s="166"/>
      <c r="K50" s="166"/>
      <c r="L50" s="166"/>
      <c r="M50" s="166"/>
      <c r="N50" s="59"/>
      <c r="O50" s="59"/>
      <c r="P50" s="59"/>
      <c r="Q50" s="59"/>
    </row>
    <row r="51" spans="1:17">
      <c r="A51" s="166"/>
      <c r="B51" s="166"/>
      <c r="C51" s="141"/>
      <c r="D51" s="166"/>
      <c r="E51" s="166"/>
      <c r="F51" s="166"/>
      <c r="G51" s="166"/>
      <c r="H51" s="37"/>
      <c r="I51" s="140"/>
      <c r="J51" s="166"/>
      <c r="K51" s="166"/>
      <c r="L51" s="166"/>
      <c r="M51" s="166"/>
      <c r="N51" s="59"/>
      <c r="O51" s="59"/>
      <c r="P51" s="59"/>
      <c r="Q51" s="59"/>
    </row>
    <row r="52" spans="1:17">
      <c r="A52" s="166"/>
      <c r="B52" s="166"/>
      <c r="C52" s="141"/>
      <c r="D52" s="166"/>
      <c r="E52" s="166"/>
      <c r="F52" s="166"/>
      <c r="G52" s="166"/>
      <c r="H52" s="37"/>
      <c r="I52" s="140"/>
      <c r="J52" s="166"/>
      <c r="K52" s="166"/>
      <c r="L52" s="166"/>
      <c r="M52" s="166"/>
      <c r="N52" s="59"/>
      <c r="O52" s="59"/>
      <c r="P52" s="59"/>
      <c r="Q52" s="59"/>
    </row>
    <row r="53" spans="1:17">
      <c r="A53" s="166"/>
      <c r="B53" s="166"/>
      <c r="C53" s="141"/>
      <c r="D53" s="166"/>
      <c r="E53" s="166"/>
      <c r="F53" s="166"/>
      <c r="G53" s="166"/>
      <c r="H53" s="37"/>
      <c r="I53" s="140"/>
      <c r="J53" s="166"/>
      <c r="K53" s="166"/>
      <c r="L53" s="166"/>
      <c r="M53" s="166"/>
      <c r="N53" s="59"/>
      <c r="O53" s="59"/>
      <c r="P53" s="59"/>
      <c r="Q53" s="59"/>
    </row>
  </sheetData>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dimension ref="A1:K14"/>
  <sheetViews>
    <sheetView workbookViewId="0"/>
  </sheetViews>
  <sheetFormatPr defaultRowHeight="12.75"/>
  <cols>
    <col min="1" max="1" width="26.140625" style="13" customWidth="1"/>
    <col min="2" max="2" width="17.85546875" style="13" customWidth="1"/>
    <col min="3" max="4" width="9.140625" style="13"/>
    <col min="5" max="5" width="17.28515625" style="13" customWidth="1"/>
    <col min="6" max="6" width="15.7109375" style="13" customWidth="1"/>
    <col min="7" max="7" width="13.7109375" style="13" customWidth="1"/>
    <col min="8" max="8" width="11.140625" style="13" customWidth="1"/>
    <col min="9" max="9" width="15" style="13" customWidth="1"/>
    <col min="10" max="10" width="12.85546875" style="13" customWidth="1"/>
    <col min="11" max="16384" width="9.140625" style="13"/>
  </cols>
  <sheetData>
    <row r="1" spans="1:11" ht="159" customHeight="1">
      <c r="A1" s="94"/>
      <c r="B1" s="95"/>
      <c r="C1" s="94"/>
      <c r="D1" s="94"/>
      <c r="E1" s="95"/>
      <c r="F1" s="95"/>
      <c r="G1" s="95"/>
      <c r="H1" s="95"/>
      <c r="I1" s="95"/>
      <c r="J1" s="95"/>
      <c r="K1" s="95"/>
    </row>
    <row r="2" spans="1:11">
      <c r="A2" s="169"/>
      <c r="B2" s="170"/>
      <c r="C2" s="169"/>
      <c r="D2" s="169"/>
      <c r="E2" s="170"/>
      <c r="F2" s="170"/>
      <c r="G2" s="170"/>
      <c r="H2" s="170"/>
      <c r="I2" s="170"/>
      <c r="J2" s="170"/>
      <c r="K2" s="170"/>
    </row>
    <row r="3" spans="1:11" ht="38.25">
      <c r="A3" s="56" t="s">
        <v>42</v>
      </c>
      <c r="B3" s="56" t="s">
        <v>82</v>
      </c>
      <c r="C3" s="56" t="s">
        <v>43</v>
      </c>
      <c r="D3" s="56" t="s">
        <v>3</v>
      </c>
      <c r="E3" s="56" t="s">
        <v>83</v>
      </c>
      <c r="F3" s="56" t="s">
        <v>84</v>
      </c>
      <c r="G3" s="56" t="s">
        <v>59</v>
      </c>
      <c r="H3" s="56" t="s">
        <v>62</v>
      </c>
      <c r="I3" s="56" t="s">
        <v>76</v>
      </c>
      <c r="J3" s="56" t="s">
        <v>69</v>
      </c>
      <c r="K3" s="56" t="s">
        <v>85</v>
      </c>
    </row>
    <row r="4" spans="1:11">
      <c r="A4" s="131"/>
      <c r="B4" s="58" t="s">
        <v>86</v>
      </c>
      <c r="C4" s="131"/>
      <c r="D4" s="131"/>
      <c r="E4" s="58"/>
      <c r="F4" s="131"/>
      <c r="G4" s="131"/>
      <c r="H4" s="131"/>
      <c r="I4" s="131"/>
      <c r="J4" s="131"/>
      <c r="K4" s="131"/>
    </row>
    <row r="5" spans="1:11">
      <c r="A5" s="131"/>
      <c r="B5" s="131"/>
      <c r="C5" s="131"/>
      <c r="D5" s="131"/>
      <c r="E5" s="131"/>
      <c r="F5" s="131"/>
      <c r="G5" s="131"/>
      <c r="H5" s="131"/>
      <c r="I5" s="131"/>
      <c r="J5" s="131"/>
      <c r="K5" s="131"/>
    </row>
    <row r="6" spans="1:11">
      <c r="A6" s="131"/>
      <c r="C6" s="131"/>
      <c r="D6" s="131"/>
      <c r="E6" s="131"/>
      <c r="F6" s="131"/>
      <c r="G6" s="131"/>
      <c r="H6" s="131"/>
      <c r="I6" s="131"/>
      <c r="J6" s="131"/>
      <c r="K6" s="131"/>
    </row>
    <row r="7" spans="1:11">
      <c r="A7" s="131"/>
      <c r="B7" s="131"/>
      <c r="C7" s="131"/>
      <c r="D7" s="131"/>
      <c r="E7" s="131"/>
      <c r="F7" s="131"/>
      <c r="G7" s="131"/>
      <c r="H7" s="131"/>
      <c r="I7" s="131"/>
      <c r="J7" s="131"/>
      <c r="K7" s="131"/>
    </row>
    <row r="14" spans="1:11">
      <c r="H14" s="13" t="s">
        <v>206</v>
      </c>
    </row>
  </sheetData>
  <pageMargins left="0.7" right="0.7" top="0.75" bottom="0.75" header="0.3" footer="0.3"/>
  <drawing r:id="rId1"/>
  <legacyDrawing r:id="rId2"/>
</worksheet>
</file>

<file path=xl/worksheets/sheet10.xml><?xml version="1.0" encoding="utf-8"?>
<worksheet xmlns="http://schemas.openxmlformats.org/spreadsheetml/2006/main" xmlns:r="http://schemas.openxmlformats.org/officeDocument/2006/relationships">
  <dimension ref="A1:P16"/>
  <sheetViews>
    <sheetView workbookViewId="0">
      <selection activeCell="M17" sqref="M17"/>
    </sheetView>
  </sheetViews>
  <sheetFormatPr defaultRowHeight="12.75"/>
  <cols>
    <col min="1" max="1" width="14.85546875" style="13" customWidth="1"/>
    <col min="2" max="16384" width="9.140625" style="13"/>
  </cols>
  <sheetData>
    <row r="1" spans="1:16">
      <c r="A1" s="71" t="s">
        <v>115</v>
      </c>
      <c r="B1" s="72"/>
      <c r="C1" s="73"/>
      <c r="D1" s="73"/>
      <c r="E1" s="73"/>
      <c r="F1" s="73"/>
      <c r="G1" s="74"/>
      <c r="H1" s="73"/>
      <c r="I1" s="73"/>
      <c r="J1" s="73"/>
      <c r="K1" s="73"/>
      <c r="L1" s="73"/>
      <c r="M1" s="73"/>
      <c r="N1" s="73"/>
      <c r="O1" s="73"/>
    </row>
    <row r="2" spans="1:16">
      <c r="A2" s="77" t="s">
        <v>87</v>
      </c>
      <c r="B2" s="72"/>
      <c r="C2" s="73"/>
      <c r="D2" s="73"/>
      <c r="E2" s="73"/>
      <c r="F2" s="73"/>
      <c r="G2" s="74"/>
      <c r="H2" s="73"/>
      <c r="I2" s="73"/>
      <c r="J2" s="73"/>
      <c r="K2" s="73"/>
      <c r="L2" s="73"/>
      <c r="M2" s="73"/>
      <c r="N2" s="73"/>
      <c r="O2" s="73"/>
    </row>
    <row r="3" spans="1:16">
      <c r="A3" s="71" t="s">
        <v>114</v>
      </c>
      <c r="B3" s="72"/>
      <c r="C3" s="73"/>
      <c r="D3" s="73"/>
      <c r="E3" s="73"/>
      <c r="F3" s="73"/>
      <c r="G3" s="74"/>
      <c r="H3" s="73"/>
      <c r="I3" s="73"/>
      <c r="J3" s="73"/>
      <c r="K3" s="73"/>
      <c r="L3" s="73"/>
      <c r="M3" s="73"/>
      <c r="N3" s="73"/>
      <c r="O3" s="73"/>
    </row>
    <row r="4" spans="1:16">
      <c r="A4" s="71" t="s">
        <v>113</v>
      </c>
      <c r="B4" s="72"/>
      <c r="C4" s="73"/>
      <c r="D4" s="73"/>
      <c r="E4" s="73"/>
      <c r="F4" s="73"/>
      <c r="G4" s="74"/>
      <c r="H4" s="73"/>
      <c r="I4" s="73"/>
      <c r="J4" s="73"/>
      <c r="K4" s="73"/>
      <c r="L4" s="73"/>
      <c r="M4" s="73"/>
      <c r="N4" s="73"/>
      <c r="O4" s="73"/>
    </row>
    <row r="5" spans="1:16">
      <c r="A5" s="71"/>
      <c r="B5" s="72"/>
      <c r="C5" s="73"/>
      <c r="D5" s="73"/>
      <c r="E5" s="73"/>
      <c r="F5" s="73"/>
      <c r="G5" s="74"/>
      <c r="H5" s="73"/>
      <c r="I5" s="73"/>
      <c r="J5" s="73"/>
      <c r="K5" s="73"/>
      <c r="L5" s="73"/>
      <c r="M5" s="73"/>
      <c r="N5" s="73"/>
      <c r="O5" s="73"/>
    </row>
    <row r="6" spans="1:16">
      <c r="A6" s="71" t="s">
        <v>201</v>
      </c>
      <c r="B6" s="72"/>
      <c r="C6" s="73"/>
      <c r="D6" s="73"/>
      <c r="E6" s="73"/>
      <c r="F6" s="73"/>
      <c r="G6" s="74"/>
      <c r="H6" s="73"/>
      <c r="I6" s="73"/>
      <c r="J6" s="73"/>
      <c r="K6" s="73"/>
      <c r="L6" s="73"/>
      <c r="M6" s="73"/>
      <c r="N6" s="73"/>
      <c r="O6" s="73"/>
    </row>
    <row r="7" spans="1:16">
      <c r="A7" s="71" t="s">
        <v>116</v>
      </c>
      <c r="B7" s="72"/>
      <c r="C7" s="73"/>
      <c r="D7" s="73"/>
      <c r="E7" s="73"/>
      <c r="G7" s="76"/>
      <c r="H7" s="73"/>
      <c r="I7" s="73"/>
      <c r="J7" s="73"/>
      <c r="K7" s="73"/>
      <c r="L7" s="73"/>
      <c r="M7" s="73"/>
      <c r="N7" s="73"/>
    </row>
    <row r="8" spans="1:16" ht="87" customHeight="1" thickBot="1">
      <c r="A8" s="171"/>
      <c r="B8" s="85"/>
      <c r="C8" s="86"/>
      <c r="D8" s="86"/>
      <c r="E8" s="83" t="s">
        <v>104</v>
      </c>
      <c r="F8" s="83" t="s">
        <v>105</v>
      </c>
      <c r="G8" s="84" t="s">
        <v>106</v>
      </c>
      <c r="H8" s="84" t="s">
        <v>107</v>
      </c>
      <c r="I8" s="84" t="s">
        <v>108</v>
      </c>
      <c r="J8" s="84" t="s">
        <v>109</v>
      </c>
      <c r="K8" s="84" t="s">
        <v>110</v>
      </c>
      <c r="L8" s="84" t="s">
        <v>111</v>
      </c>
      <c r="M8" s="84" t="s">
        <v>112</v>
      </c>
      <c r="N8" s="84" t="s">
        <v>112</v>
      </c>
      <c r="O8" s="84" t="s">
        <v>112</v>
      </c>
      <c r="P8" s="124"/>
    </row>
    <row r="9" spans="1:16" ht="13.5" thickBot="1">
      <c r="A9" s="87"/>
      <c r="B9" s="88"/>
      <c r="C9" s="89"/>
      <c r="D9" s="89"/>
      <c r="E9" s="90"/>
      <c r="F9" s="90"/>
      <c r="G9" s="90"/>
      <c r="H9" s="91"/>
      <c r="I9" s="91"/>
      <c r="J9" s="91"/>
      <c r="K9" s="91"/>
      <c r="L9" s="91"/>
      <c r="M9" s="91"/>
      <c r="N9" s="91"/>
      <c r="O9" s="92"/>
    </row>
    <row r="10" spans="1:16" s="124" customFormat="1" ht="26.25" thickBot="1">
      <c r="A10" s="172" t="s">
        <v>42</v>
      </c>
      <c r="B10" s="82" t="s">
        <v>88</v>
      </c>
      <c r="C10" s="82" t="s">
        <v>89</v>
      </c>
      <c r="D10" s="82" t="s">
        <v>90</v>
      </c>
      <c r="E10" s="93" t="s">
        <v>91</v>
      </c>
      <c r="F10" s="93" t="s">
        <v>92</v>
      </c>
      <c r="G10" s="93" t="s">
        <v>93</v>
      </c>
      <c r="H10" s="93" t="s">
        <v>94</v>
      </c>
      <c r="I10" s="93" t="s">
        <v>95</v>
      </c>
      <c r="J10" s="93" t="s">
        <v>96</v>
      </c>
      <c r="K10" s="93" t="s">
        <v>97</v>
      </c>
      <c r="L10" s="93" t="s">
        <v>98</v>
      </c>
      <c r="M10" s="93" t="s">
        <v>112</v>
      </c>
      <c r="N10" s="93" t="s">
        <v>112</v>
      </c>
      <c r="O10" s="93" t="s">
        <v>112</v>
      </c>
    </row>
    <row r="11" spans="1:16">
      <c r="A11" s="66"/>
      <c r="B11" s="67" t="s">
        <v>99</v>
      </c>
      <c r="D11" s="69"/>
      <c r="E11" s="59" t="s">
        <v>100</v>
      </c>
      <c r="F11" s="60"/>
      <c r="G11" s="60"/>
      <c r="H11" s="61"/>
      <c r="I11" s="62"/>
      <c r="J11" s="62" t="s">
        <v>100</v>
      </c>
      <c r="K11" s="62"/>
      <c r="L11" s="62"/>
      <c r="M11" s="62" t="s">
        <v>112</v>
      </c>
      <c r="N11" s="62"/>
      <c r="O11" s="59"/>
    </row>
    <row r="12" spans="1:16">
      <c r="A12" s="66"/>
      <c r="B12" s="67" t="s">
        <v>101</v>
      </c>
      <c r="C12" s="70"/>
      <c r="D12" s="70"/>
      <c r="E12" s="59" t="s">
        <v>102</v>
      </c>
      <c r="G12" s="60"/>
      <c r="H12" s="59"/>
      <c r="I12" s="63"/>
      <c r="J12" s="63"/>
      <c r="K12" s="63"/>
      <c r="L12" s="63"/>
      <c r="M12" s="63"/>
      <c r="N12" s="63"/>
      <c r="O12" s="59"/>
    </row>
    <row r="13" spans="1:16">
      <c r="A13" s="66"/>
      <c r="B13" s="67"/>
      <c r="C13" s="59"/>
      <c r="D13" s="59"/>
      <c r="E13" s="59"/>
      <c r="F13" s="59"/>
      <c r="G13" s="60"/>
      <c r="H13" s="59"/>
      <c r="I13" s="64"/>
      <c r="J13" s="65"/>
      <c r="K13" s="65"/>
      <c r="L13" s="65"/>
      <c r="M13" s="65"/>
      <c r="N13" s="59"/>
      <c r="O13" s="59"/>
    </row>
    <row r="14" spans="1:16">
      <c r="A14" s="66"/>
      <c r="B14" s="67"/>
      <c r="C14" s="59"/>
      <c r="D14" s="59"/>
      <c r="F14" s="59"/>
      <c r="G14" s="60"/>
      <c r="H14" s="59"/>
      <c r="I14" s="64"/>
      <c r="J14" s="65"/>
      <c r="K14" s="65"/>
      <c r="L14" s="65"/>
      <c r="M14" s="59"/>
      <c r="N14" s="59"/>
      <c r="O14" s="59"/>
    </row>
    <row r="15" spans="1:16">
      <c r="E15" s="79" t="s">
        <v>117</v>
      </c>
      <c r="F15" s="80"/>
      <c r="G15" s="80"/>
      <c r="H15" s="80"/>
      <c r="I15" s="80"/>
      <c r="J15" s="80"/>
    </row>
    <row r="16" spans="1:16">
      <c r="E16" s="81" t="s">
        <v>103</v>
      </c>
      <c r="F16" s="80"/>
      <c r="G16" s="80"/>
      <c r="H16" s="80"/>
      <c r="I16" s="80"/>
      <c r="J16" s="80"/>
    </row>
  </sheetData>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dimension ref="A1:O89"/>
  <sheetViews>
    <sheetView zoomScale="60" zoomScaleNormal="60" workbookViewId="0"/>
  </sheetViews>
  <sheetFormatPr defaultColWidth="11.140625" defaultRowHeight="12.75"/>
  <cols>
    <col min="1" max="1" width="11.140625" style="179" customWidth="1"/>
    <col min="2" max="2" width="11.140625" style="180" customWidth="1"/>
    <col min="3" max="3" width="11.140625" style="13" customWidth="1"/>
    <col min="4" max="4" width="9.7109375" style="13" customWidth="1"/>
    <col min="5" max="5" width="10.85546875" style="13" customWidth="1"/>
    <col min="6" max="6" width="10.42578125" style="76" customWidth="1"/>
    <col min="7" max="7" width="10.7109375" style="13" customWidth="1"/>
    <col min="8" max="8" width="11.140625" style="13" customWidth="1"/>
    <col min="9" max="16384" width="11.140625" style="13"/>
  </cols>
  <sheetData>
    <row r="1" spans="1:15">
      <c r="A1" s="71" t="s">
        <v>157</v>
      </c>
      <c r="B1" s="72"/>
      <c r="C1" s="73"/>
      <c r="D1" s="73"/>
      <c r="E1" s="73"/>
      <c r="F1" s="74"/>
      <c r="G1" s="73"/>
      <c r="H1" s="73"/>
      <c r="I1" s="73"/>
      <c r="J1" s="73"/>
      <c r="K1" s="73"/>
      <c r="L1" s="73"/>
      <c r="M1" s="73"/>
      <c r="N1" s="73"/>
    </row>
    <row r="2" spans="1:15">
      <c r="A2" s="77" t="s">
        <v>158</v>
      </c>
      <c r="B2" s="72"/>
      <c r="C2" s="73"/>
      <c r="D2" s="73"/>
      <c r="E2" s="73"/>
      <c r="F2" s="74"/>
      <c r="G2" s="73"/>
      <c r="H2" s="73"/>
      <c r="I2" s="73"/>
      <c r="J2" s="73"/>
      <c r="K2" s="73"/>
      <c r="L2" s="73"/>
      <c r="M2" s="73"/>
      <c r="N2" s="73"/>
    </row>
    <row r="3" spans="1:15">
      <c r="A3" s="71" t="s">
        <v>118</v>
      </c>
      <c r="B3" s="72"/>
      <c r="C3" s="73"/>
      <c r="D3" s="73"/>
      <c r="E3" s="73"/>
      <c r="F3" s="74"/>
      <c r="G3" s="73"/>
      <c r="H3" s="73"/>
      <c r="I3" s="73"/>
      <c r="J3" s="73"/>
      <c r="K3" s="73"/>
      <c r="L3" s="73"/>
      <c r="M3" s="73"/>
      <c r="N3" s="73"/>
    </row>
    <row r="4" spans="1:15" ht="20.25" customHeight="1">
      <c r="A4" s="71" t="s">
        <v>119</v>
      </c>
      <c r="B4" s="72"/>
      <c r="C4" s="73"/>
      <c r="D4" s="73"/>
      <c r="E4" s="73"/>
      <c r="F4" s="74"/>
      <c r="G4" s="73"/>
      <c r="H4" s="73"/>
      <c r="I4" s="73"/>
      <c r="J4" s="73"/>
      <c r="K4" s="73"/>
      <c r="L4" s="73"/>
      <c r="M4" s="73"/>
      <c r="N4" s="73"/>
    </row>
    <row r="5" spans="1:15" ht="20.25" customHeight="1">
      <c r="A5" s="71" t="s">
        <v>202</v>
      </c>
      <c r="B5" s="72"/>
      <c r="C5" s="73"/>
      <c r="D5" s="73"/>
      <c r="E5" s="73"/>
      <c r="F5" s="74"/>
      <c r="G5" s="73"/>
      <c r="H5" s="73"/>
      <c r="I5" s="73"/>
      <c r="J5" s="73"/>
      <c r="K5" s="73"/>
      <c r="L5" s="73"/>
      <c r="M5" s="73"/>
      <c r="N5" s="73"/>
    </row>
    <row r="6" spans="1:15">
      <c r="A6" s="75"/>
      <c r="B6" s="72"/>
      <c r="C6" s="73"/>
      <c r="D6" s="73"/>
      <c r="G6" s="73"/>
      <c r="H6" s="73"/>
      <c r="I6" s="73"/>
      <c r="J6" s="73"/>
      <c r="K6" s="73"/>
      <c r="L6" s="73"/>
      <c r="M6" s="73"/>
    </row>
    <row r="7" spans="1:15" s="171" customFormat="1" ht="88.5" customHeight="1" thickBot="1">
      <c r="A7" s="78"/>
      <c r="B7" s="85"/>
      <c r="C7" s="86"/>
      <c r="D7" s="83" t="s">
        <v>104</v>
      </c>
      <c r="E7" s="83" t="s">
        <v>105</v>
      </c>
      <c r="F7" s="84" t="s">
        <v>106</v>
      </c>
      <c r="G7" s="84" t="s">
        <v>107</v>
      </c>
      <c r="H7" s="84" t="s">
        <v>108</v>
      </c>
      <c r="I7" s="84" t="s">
        <v>109</v>
      </c>
      <c r="J7" s="84" t="s">
        <v>110</v>
      </c>
      <c r="K7" s="84" t="s">
        <v>111</v>
      </c>
      <c r="L7" s="84" t="s">
        <v>112</v>
      </c>
      <c r="M7" s="84" t="s">
        <v>112</v>
      </c>
      <c r="N7" s="84" t="s">
        <v>112</v>
      </c>
      <c r="O7" s="124"/>
    </row>
    <row r="8" spans="1:15" ht="7.5" customHeight="1" thickBot="1">
      <c r="A8" s="87"/>
      <c r="B8" s="88"/>
      <c r="C8" s="89"/>
      <c r="D8" s="90"/>
      <c r="E8" s="90"/>
      <c r="F8" s="90"/>
      <c r="G8" s="91"/>
      <c r="H8" s="91"/>
      <c r="I8" s="91"/>
      <c r="J8" s="91"/>
      <c r="K8" s="91"/>
      <c r="L8" s="91"/>
      <c r="M8" s="91"/>
      <c r="N8" s="92"/>
    </row>
    <row r="9" spans="1:15" ht="32.25" customHeight="1">
      <c r="A9" s="184" t="s">
        <v>42</v>
      </c>
      <c r="B9" s="54" t="s">
        <v>120</v>
      </c>
      <c r="C9" s="54" t="s">
        <v>8</v>
      </c>
      <c r="D9" s="185" t="s">
        <v>91</v>
      </c>
      <c r="E9" s="185" t="s">
        <v>92</v>
      </c>
      <c r="F9" s="185" t="s">
        <v>93</v>
      </c>
      <c r="G9" s="185" t="s">
        <v>94</v>
      </c>
      <c r="H9" s="185" t="s">
        <v>95</v>
      </c>
      <c r="I9" s="185" t="s">
        <v>96</v>
      </c>
      <c r="J9" s="185" t="s">
        <v>97</v>
      </c>
      <c r="K9" s="185" t="s">
        <v>98</v>
      </c>
      <c r="L9" s="185" t="s">
        <v>112</v>
      </c>
      <c r="M9" s="185" t="s">
        <v>112</v>
      </c>
      <c r="N9" s="185" t="s">
        <v>112</v>
      </c>
    </row>
    <row r="10" spans="1:15" ht="42.75" customHeight="1">
      <c r="A10" s="66"/>
      <c r="B10" s="67" t="s">
        <v>121</v>
      </c>
      <c r="C10" s="59"/>
      <c r="D10" s="65"/>
      <c r="E10" s="59" t="s">
        <v>100</v>
      </c>
      <c r="F10" s="60"/>
      <c r="G10" s="59"/>
      <c r="H10" s="64"/>
      <c r="I10" s="64" t="s">
        <v>100</v>
      </c>
      <c r="J10" s="64"/>
      <c r="K10" s="64"/>
      <c r="L10" s="64" t="s">
        <v>100</v>
      </c>
      <c r="M10" s="64"/>
      <c r="N10" s="59"/>
    </row>
    <row r="11" spans="1:15" ht="42.75" customHeight="1">
      <c r="A11" s="66"/>
      <c r="B11" s="67" t="s">
        <v>122</v>
      </c>
      <c r="C11" s="70"/>
      <c r="D11" s="65"/>
      <c r="E11" s="59"/>
      <c r="F11" s="60"/>
      <c r="G11" s="59"/>
      <c r="H11" s="63"/>
      <c r="I11" s="63"/>
      <c r="J11" s="63"/>
      <c r="K11" s="63"/>
      <c r="L11" s="63"/>
      <c r="M11" s="63"/>
      <c r="N11" s="59"/>
    </row>
    <row r="12" spans="1:15" ht="42.75" customHeight="1">
      <c r="A12" s="66"/>
      <c r="B12" s="67" t="s">
        <v>123</v>
      </c>
      <c r="C12" s="70"/>
      <c r="D12" s="65"/>
      <c r="E12" s="59"/>
      <c r="F12" s="60"/>
      <c r="G12" s="59"/>
      <c r="H12" s="63"/>
      <c r="I12" s="63"/>
      <c r="J12" s="63"/>
      <c r="K12" s="63"/>
      <c r="L12" s="63"/>
      <c r="M12" s="63"/>
      <c r="N12" s="59"/>
    </row>
    <row r="13" spans="1:15" ht="42.75" customHeight="1">
      <c r="A13" s="66"/>
      <c r="B13" s="67" t="s">
        <v>124</v>
      </c>
      <c r="C13" s="70"/>
      <c r="D13" s="65"/>
      <c r="E13" s="59"/>
      <c r="F13" s="60"/>
      <c r="G13" s="59"/>
      <c r="H13" s="63"/>
      <c r="I13" s="63"/>
      <c r="J13" s="63"/>
      <c r="K13" s="63"/>
      <c r="L13" s="63"/>
      <c r="M13" s="63"/>
      <c r="N13" s="59"/>
    </row>
    <row r="14" spans="1:15" ht="42.75" customHeight="1">
      <c r="A14" s="68"/>
      <c r="B14" s="67" t="s">
        <v>125</v>
      </c>
      <c r="C14" s="59"/>
      <c r="D14" s="65"/>
      <c r="E14" s="59"/>
      <c r="F14" s="60"/>
      <c r="G14" s="173"/>
      <c r="H14" s="173"/>
      <c r="I14" s="173"/>
      <c r="J14" s="173"/>
      <c r="K14" s="173"/>
      <c r="L14" s="173"/>
      <c r="M14" s="173"/>
      <c r="N14" s="59"/>
    </row>
    <row r="15" spans="1:15" ht="42.75" customHeight="1">
      <c r="A15" s="68"/>
      <c r="B15" s="67" t="s">
        <v>126</v>
      </c>
      <c r="C15" s="59"/>
      <c r="D15" s="173"/>
      <c r="E15" s="59"/>
      <c r="F15" s="65"/>
      <c r="G15" s="65"/>
      <c r="H15" s="65"/>
      <c r="I15" s="65"/>
      <c r="J15" s="65"/>
      <c r="K15" s="65"/>
      <c r="L15" s="173"/>
      <c r="M15" s="173"/>
      <c r="N15" s="59"/>
    </row>
    <row r="16" spans="1:15" ht="42.75" customHeight="1">
      <c r="A16" s="68"/>
      <c r="B16" s="67" t="s">
        <v>127</v>
      </c>
      <c r="C16" s="59"/>
      <c r="D16" s="65"/>
      <c r="E16" s="59"/>
      <c r="F16" s="60"/>
      <c r="G16" s="173"/>
      <c r="H16" s="173"/>
      <c r="I16" s="173"/>
      <c r="J16" s="173"/>
      <c r="K16" s="173"/>
      <c r="L16" s="173"/>
      <c r="M16" s="173"/>
      <c r="N16" s="59"/>
    </row>
    <row r="17" spans="1:14" ht="42.75" customHeight="1">
      <c r="A17" s="68"/>
      <c r="B17" s="67" t="s">
        <v>128</v>
      </c>
      <c r="C17" s="59"/>
      <c r="D17" s="173"/>
      <c r="E17" s="59"/>
      <c r="F17" s="60"/>
      <c r="G17" s="173"/>
      <c r="H17" s="173"/>
      <c r="I17" s="173"/>
      <c r="J17" s="173"/>
      <c r="K17" s="173"/>
      <c r="L17" s="173"/>
      <c r="M17" s="173"/>
      <c r="N17" s="59"/>
    </row>
    <row r="18" spans="1:14" ht="42.75" customHeight="1">
      <c r="A18" s="68"/>
      <c r="B18" s="67" t="s">
        <v>129</v>
      </c>
      <c r="C18" s="59"/>
      <c r="D18" s="173"/>
      <c r="E18" s="59"/>
      <c r="F18" s="60"/>
      <c r="G18" s="173"/>
      <c r="H18" s="173"/>
      <c r="I18" s="173"/>
      <c r="J18" s="173"/>
      <c r="K18" s="173"/>
      <c r="L18" s="173"/>
      <c r="M18" s="173"/>
      <c r="N18" s="59"/>
    </row>
    <row r="19" spans="1:14" s="124" customFormat="1" ht="42.75" customHeight="1">
      <c r="A19" s="141"/>
      <c r="B19" s="67" t="s">
        <v>130</v>
      </c>
      <c r="C19" s="64"/>
      <c r="D19" s="174"/>
      <c r="E19" s="64"/>
      <c r="F19" s="175"/>
      <c r="G19" s="176"/>
      <c r="H19" s="63"/>
      <c r="I19" s="63"/>
      <c r="J19" s="63"/>
      <c r="K19" s="63"/>
      <c r="L19" s="63"/>
      <c r="M19" s="63"/>
      <c r="N19" s="64"/>
    </row>
    <row r="20" spans="1:14" ht="42.75" customHeight="1">
      <c r="A20" s="68"/>
      <c r="B20" s="67" t="s">
        <v>131</v>
      </c>
      <c r="C20" s="70"/>
      <c r="D20" s="173"/>
      <c r="E20" s="59"/>
      <c r="F20" s="60"/>
      <c r="G20" s="173"/>
      <c r="H20" s="173"/>
      <c r="I20" s="173"/>
      <c r="J20" s="173"/>
      <c r="K20" s="173"/>
      <c r="L20" s="173"/>
      <c r="M20" s="173"/>
      <c r="N20" s="59"/>
    </row>
    <row r="21" spans="1:14" ht="42.75" customHeight="1">
      <c r="A21" s="68"/>
      <c r="B21" s="67" t="s">
        <v>132</v>
      </c>
      <c r="C21" s="177"/>
      <c r="D21" s="173"/>
      <c r="E21" s="59"/>
      <c r="F21" s="60"/>
      <c r="G21" s="173"/>
      <c r="H21" s="65"/>
      <c r="I21" s="173"/>
      <c r="J21" s="173"/>
      <c r="K21" s="173"/>
      <c r="L21" s="173"/>
      <c r="M21" s="173"/>
      <c r="N21" s="59"/>
    </row>
    <row r="22" spans="1:14" ht="42.75" customHeight="1">
      <c r="A22" s="68"/>
      <c r="B22" s="67" t="s">
        <v>133</v>
      </c>
      <c r="C22" s="59"/>
      <c r="D22" s="64"/>
      <c r="E22" s="59"/>
      <c r="F22" s="60"/>
      <c r="G22" s="59"/>
      <c r="H22" s="64"/>
      <c r="I22" s="173"/>
      <c r="J22" s="64"/>
      <c r="K22" s="64"/>
      <c r="L22" s="64"/>
      <c r="M22" s="64"/>
      <c r="N22" s="59"/>
    </row>
    <row r="23" spans="1:14" ht="42.75" customHeight="1">
      <c r="A23" s="68"/>
      <c r="B23" s="67" t="s">
        <v>134</v>
      </c>
      <c r="C23" s="70"/>
      <c r="D23" s="64"/>
      <c r="E23" s="59"/>
      <c r="F23" s="60"/>
      <c r="G23" s="65"/>
      <c r="H23" s="64"/>
      <c r="I23" s="173"/>
      <c r="J23" s="64"/>
      <c r="K23" s="64"/>
      <c r="L23" s="64"/>
      <c r="M23" s="64"/>
      <c r="N23" s="59"/>
    </row>
    <row r="24" spans="1:14" ht="42.75" customHeight="1">
      <c r="A24" s="66"/>
      <c r="B24" s="67" t="s">
        <v>135</v>
      </c>
      <c r="C24" s="59"/>
      <c r="D24" s="64"/>
      <c r="E24" s="59"/>
      <c r="F24" s="60"/>
      <c r="G24" s="65"/>
      <c r="H24" s="64"/>
      <c r="I24" s="64"/>
      <c r="J24" s="64"/>
      <c r="K24" s="64"/>
      <c r="L24" s="64"/>
      <c r="M24" s="64"/>
      <c r="N24" s="59"/>
    </row>
    <row r="25" spans="1:14" ht="42.75" customHeight="1">
      <c r="A25" s="66"/>
      <c r="B25" s="67" t="s">
        <v>136</v>
      </c>
      <c r="C25" s="59"/>
      <c r="D25" s="64"/>
      <c r="E25" s="59"/>
      <c r="F25" s="60"/>
      <c r="G25" s="65"/>
      <c r="H25" s="64"/>
      <c r="I25" s="64"/>
      <c r="J25" s="64"/>
      <c r="K25" s="64"/>
      <c r="L25" s="64"/>
      <c r="M25" s="64"/>
      <c r="N25" s="59"/>
    </row>
    <row r="26" spans="1:14" ht="42.75" customHeight="1">
      <c r="A26" s="66"/>
      <c r="B26" s="67" t="s">
        <v>137</v>
      </c>
      <c r="C26" s="59"/>
      <c r="D26" s="64"/>
      <c r="E26" s="59"/>
      <c r="F26" s="60"/>
      <c r="G26" s="65"/>
      <c r="H26" s="64"/>
      <c r="I26" s="64"/>
      <c r="J26" s="64"/>
      <c r="K26" s="64"/>
      <c r="L26" s="64"/>
      <c r="M26" s="64"/>
      <c r="N26" s="59"/>
    </row>
    <row r="27" spans="1:14" ht="42.75" customHeight="1">
      <c r="A27" s="66"/>
      <c r="B27" s="67" t="s">
        <v>138</v>
      </c>
      <c r="C27" s="59"/>
      <c r="D27" s="64"/>
      <c r="E27" s="59"/>
      <c r="F27" s="60"/>
      <c r="G27" s="64"/>
      <c r="H27" s="64"/>
      <c r="I27" s="64"/>
      <c r="J27" s="64"/>
      <c r="K27" s="65"/>
      <c r="L27" s="64"/>
      <c r="M27" s="64"/>
      <c r="N27" s="59"/>
    </row>
    <row r="28" spans="1:14" ht="42.75" customHeight="1">
      <c r="A28" s="66"/>
      <c r="B28" s="67" t="s">
        <v>139</v>
      </c>
      <c r="C28" s="59"/>
      <c r="D28" s="64"/>
      <c r="E28" s="59"/>
      <c r="F28" s="60"/>
      <c r="G28" s="64"/>
      <c r="H28" s="64"/>
      <c r="I28" s="64"/>
      <c r="J28" s="64"/>
      <c r="K28" s="64"/>
      <c r="L28" s="64"/>
      <c r="M28" s="64"/>
      <c r="N28" s="59"/>
    </row>
    <row r="29" spans="1:14" ht="42.75" customHeight="1">
      <c r="A29" s="66"/>
      <c r="B29" s="67" t="s">
        <v>140</v>
      </c>
      <c r="C29" s="59"/>
      <c r="D29" s="64"/>
      <c r="E29" s="59"/>
      <c r="F29" s="60"/>
      <c r="G29" s="178"/>
      <c r="H29" s="64"/>
      <c r="I29" s="64"/>
      <c r="J29" s="64"/>
      <c r="K29" s="64"/>
      <c r="L29" s="64"/>
      <c r="M29" s="64"/>
      <c r="N29" s="59"/>
    </row>
    <row r="30" spans="1:14" ht="42.75" customHeight="1">
      <c r="A30" s="66"/>
      <c r="B30" s="67" t="s">
        <v>141</v>
      </c>
      <c r="C30" s="59"/>
      <c r="D30" s="173"/>
      <c r="E30" s="59"/>
      <c r="F30" s="60"/>
      <c r="G30" s="59"/>
      <c r="H30" s="64"/>
      <c r="I30" s="64"/>
      <c r="J30" s="64"/>
      <c r="K30" s="64"/>
      <c r="L30" s="64"/>
      <c r="M30" s="64"/>
      <c r="N30" s="59"/>
    </row>
    <row r="31" spans="1:14" ht="42.75" customHeight="1">
      <c r="A31" s="66"/>
      <c r="B31" s="67" t="s">
        <v>142</v>
      </c>
      <c r="C31" s="59"/>
      <c r="D31" s="65"/>
      <c r="E31" s="59"/>
      <c r="F31" s="60"/>
      <c r="G31" s="59"/>
      <c r="H31" s="64"/>
      <c r="I31" s="64"/>
      <c r="J31" s="64"/>
      <c r="K31" s="64"/>
      <c r="L31" s="64"/>
      <c r="M31" s="64"/>
      <c r="N31" s="59"/>
    </row>
    <row r="32" spans="1:14" ht="42.75" customHeight="1">
      <c r="A32" s="66"/>
      <c r="B32" s="67" t="s">
        <v>143</v>
      </c>
      <c r="C32" s="59"/>
      <c r="D32" s="65"/>
      <c r="E32" s="59"/>
      <c r="F32" s="60"/>
      <c r="G32" s="59"/>
      <c r="H32" s="64"/>
      <c r="I32" s="64"/>
      <c r="J32" s="64"/>
      <c r="K32" s="64"/>
      <c r="L32" s="64"/>
      <c r="M32" s="64"/>
      <c r="N32" s="59"/>
    </row>
    <row r="33" spans="1:14" ht="42.75" customHeight="1">
      <c r="A33" s="66"/>
      <c r="B33" s="67" t="s">
        <v>144</v>
      </c>
      <c r="C33" s="59"/>
      <c r="D33" s="64"/>
      <c r="E33" s="59"/>
      <c r="F33" s="60"/>
      <c r="G33" s="59"/>
      <c r="H33" s="64"/>
      <c r="I33" s="65"/>
      <c r="J33" s="59"/>
      <c r="K33" s="65"/>
      <c r="L33" s="65"/>
      <c r="M33" s="64"/>
      <c r="N33" s="59"/>
    </row>
    <row r="34" spans="1:14" ht="42.75" customHeight="1">
      <c r="A34" s="66"/>
      <c r="B34" s="67" t="s">
        <v>145</v>
      </c>
      <c r="C34" s="59"/>
      <c r="D34" s="65"/>
      <c r="E34" s="59"/>
      <c r="F34" s="60"/>
      <c r="G34" s="59"/>
      <c r="H34" s="64"/>
      <c r="I34" s="65"/>
      <c r="J34" s="65"/>
      <c r="K34" s="59"/>
      <c r="L34" s="65"/>
      <c r="M34" s="64"/>
      <c r="N34" s="59"/>
    </row>
    <row r="35" spans="1:14" ht="42.75" customHeight="1">
      <c r="A35" s="66"/>
      <c r="B35" s="67" t="s">
        <v>146</v>
      </c>
      <c r="C35" s="59"/>
      <c r="D35" s="64"/>
      <c r="E35" s="59"/>
      <c r="F35" s="60"/>
      <c r="G35" s="59"/>
      <c r="H35" s="64"/>
      <c r="I35" s="65"/>
      <c r="J35" s="65"/>
      <c r="K35" s="65"/>
      <c r="L35" s="59"/>
      <c r="M35" s="64"/>
      <c r="N35" s="59"/>
    </row>
    <row r="36" spans="1:14" ht="42.75" customHeight="1">
      <c r="A36" s="66"/>
      <c r="B36" s="67" t="s">
        <v>147</v>
      </c>
      <c r="C36" s="59"/>
      <c r="D36" s="64"/>
      <c r="E36" s="59"/>
      <c r="F36" s="60"/>
      <c r="G36" s="59"/>
      <c r="H36" s="64"/>
      <c r="I36" s="65"/>
      <c r="J36" s="65"/>
      <c r="K36" s="65"/>
      <c r="L36" s="65"/>
      <c r="M36" s="64"/>
      <c r="N36" s="59"/>
    </row>
    <row r="37" spans="1:14" ht="42.75" customHeight="1">
      <c r="A37" s="66"/>
      <c r="B37" s="67" t="s">
        <v>148</v>
      </c>
      <c r="C37" s="59"/>
      <c r="D37" s="64"/>
      <c r="E37" s="59"/>
      <c r="F37" s="60"/>
      <c r="G37" s="59"/>
      <c r="H37" s="64"/>
      <c r="I37" s="65"/>
      <c r="J37" s="65"/>
      <c r="K37" s="65"/>
      <c r="L37" s="65"/>
      <c r="M37" s="64"/>
      <c r="N37" s="59"/>
    </row>
    <row r="38" spans="1:14" ht="42.75" customHeight="1">
      <c r="A38" s="66"/>
      <c r="B38" s="67" t="s">
        <v>149</v>
      </c>
      <c r="C38" s="59"/>
      <c r="D38" s="64"/>
      <c r="E38" s="59"/>
      <c r="F38" s="60"/>
      <c r="G38" s="59"/>
      <c r="H38" s="64"/>
      <c r="I38" s="65"/>
      <c r="J38" s="65"/>
      <c r="K38" s="65"/>
      <c r="L38" s="65"/>
      <c r="M38" s="59"/>
      <c r="N38" s="59"/>
    </row>
    <row r="39" spans="1:14" ht="42.75" customHeight="1">
      <c r="A39" s="66"/>
      <c r="B39" s="67" t="s">
        <v>150</v>
      </c>
      <c r="C39" s="59"/>
      <c r="D39" s="64"/>
      <c r="E39" s="59"/>
      <c r="F39" s="60"/>
      <c r="G39" s="59"/>
      <c r="H39" s="64"/>
      <c r="I39" s="65"/>
      <c r="J39" s="65"/>
      <c r="K39" s="65"/>
      <c r="L39" s="59"/>
      <c r="M39" s="59"/>
      <c r="N39" s="59"/>
    </row>
    <row r="40" spans="1:14" ht="42.75" customHeight="1">
      <c r="A40" s="66"/>
      <c r="B40" s="67" t="s">
        <v>151</v>
      </c>
      <c r="C40" s="59"/>
      <c r="D40" s="65"/>
      <c r="E40" s="59"/>
      <c r="F40" s="60"/>
      <c r="G40" s="59"/>
      <c r="H40" s="64"/>
      <c r="I40" s="65"/>
      <c r="J40" s="65"/>
      <c r="K40" s="65"/>
      <c r="L40" s="65"/>
      <c r="M40" s="64"/>
      <c r="N40" s="59"/>
    </row>
    <row r="41" spans="1:14" ht="42.75" customHeight="1">
      <c r="A41" s="66"/>
      <c r="B41" s="67" t="s">
        <v>152</v>
      </c>
      <c r="C41" s="59"/>
      <c r="D41" s="64"/>
      <c r="E41" s="59"/>
      <c r="F41" s="60"/>
      <c r="G41" s="65"/>
      <c r="H41" s="59"/>
      <c r="I41" s="65"/>
      <c r="J41" s="65"/>
      <c r="K41" s="65"/>
      <c r="L41" s="65"/>
      <c r="M41" s="65"/>
      <c r="N41" s="59"/>
    </row>
    <row r="42" spans="1:14" ht="42.75" customHeight="1">
      <c r="A42" s="66"/>
      <c r="B42" s="67" t="s">
        <v>153</v>
      </c>
      <c r="C42" s="59"/>
      <c r="D42" s="64"/>
      <c r="E42" s="59"/>
      <c r="F42" s="60"/>
      <c r="G42" s="65"/>
      <c r="H42" s="59"/>
      <c r="I42" s="65"/>
      <c r="J42" s="65"/>
      <c r="K42" s="65"/>
      <c r="L42" s="65"/>
      <c r="M42" s="65"/>
      <c r="N42" s="59"/>
    </row>
    <row r="43" spans="1:14" ht="42.75" customHeight="1">
      <c r="A43" s="66"/>
      <c r="B43" s="67" t="s">
        <v>154</v>
      </c>
      <c r="C43" s="59"/>
      <c r="D43" s="59"/>
      <c r="E43" s="65"/>
      <c r="F43" s="60"/>
      <c r="G43" s="59"/>
      <c r="H43" s="59"/>
      <c r="I43" s="59"/>
      <c r="J43" s="59"/>
      <c r="K43" s="59"/>
      <c r="L43" s="59"/>
      <c r="M43" s="59"/>
      <c r="N43" s="59"/>
    </row>
    <row r="44" spans="1:14" ht="42.75" customHeight="1">
      <c r="A44" s="66"/>
      <c r="B44" s="67" t="s">
        <v>155</v>
      </c>
      <c r="C44" s="59"/>
      <c r="D44" s="64"/>
      <c r="E44" s="59"/>
      <c r="F44" s="60"/>
      <c r="G44" s="65"/>
      <c r="H44" s="64"/>
      <c r="I44" s="64"/>
      <c r="J44" s="64"/>
      <c r="K44" s="64"/>
      <c r="L44" s="64"/>
      <c r="M44" s="64"/>
      <c r="N44" s="59"/>
    </row>
    <row r="45" spans="1:14" ht="42.75" customHeight="1">
      <c r="A45" s="66"/>
      <c r="B45" s="67" t="s">
        <v>156</v>
      </c>
      <c r="C45" s="59"/>
      <c r="D45" s="59"/>
      <c r="E45" s="59"/>
      <c r="F45" s="60"/>
      <c r="G45" s="59"/>
      <c r="H45" s="59"/>
      <c r="I45" s="59"/>
      <c r="J45" s="59"/>
      <c r="K45" s="59"/>
      <c r="L45" s="59"/>
      <c r="M45" s="59"/>
      <c r="N45" s="59"/>
    </row>
    <row r="46" spans="1:14" ht="42.75" customHeight="1">
      <c r="B46" s="13"/>
    </row>
    <row r="47" spans="1:14" ht="42.75" customHeight="1">
      <c r="B47" s="13"/>
    </row>
    <row r="48" spans="1:14" ht="42.75" customHeight="1">
      <c r="B48" s="13"/>
    </row>
    <row r="49" spans="2:2" ht="42.75" customHeight="1">
      <c r="B49" s="13"/>
    </row>
    <row r="50" spans="2:2" ht="42.75" customHeight="1">
      <c r="B50" s="13"/>
    </row>
    <row r="51" spans="2:2" ht="42.75" customHeight="1">
      <c r="B51" s="13"/>
    </row>
    <row r="52" spans="2:2" ht="42.75" customHeight="1">
      <c r="B52" s="13"/>
    </row>
    <row r="53" spans="2:2" ht="42.75" customHeight="1">
      <c r="B53" s="13"/>
    </row>
    <row r="54" spans="2:2" ht="42.75" customHeight="1">
      <c r="B54" s="13"/>
    </row>
    <row r="55" spans="2:2" ht="42.75" customHeight="1">
      <c r="B55" s="13"/>
    </row>
    <row r="56" spans="2:2" ht="42.75" customHeight="1">
      <c r="B56" s="13"/>
    </row>
    <row r="57" spans="2:2" ht="42.75" customHeight="1">
      <c r="B57" s="13"/>
    </row>
    <row r="58" spans="2:2" ht="42.75" customHeight="1">
      <c r="B58" s="13"/>
    </row>
    <row r="59" spans="2:2" ht="42.75" customHeight="1">
      <c r="B59" s="13"/>
    </row>
    <row r="60" spans="2:2" ht="42.75" customHeight="1">
      <c r="B60" s="13"/>
    </row>
    <row r="61" spans="2:2" ht="42.75" customHeight="1">
      <c r="B61" s="13"/>
    </row>
    <row r="62" spans="2:2" ht="42.75" customHeight="1">
      <c r="B62" s="13"/>
    </row>
    <row r="63" spans="2:2" ht="42.75" customHeight="1">
      <c r="B63" s="13"/>
    </row>
    <row r="64" spans="2:2" ht="42.75" customHeight="1">
      <c r="B64" s="13"/>
    </row>
    <row r="65" spans="2:2" ht="42.75" customHeight="1">
      <c r="B65" s="13"/>
    </row>
    <row r="66" spans="2:2" ht="42.75" customHeight="1">
      <c r="B66" s="13"/>
    </row>
    <row r="67" spans="2:2" ht="42.75" customHeight="1">
      <c r="B67" s="13"/>
    </row>
    <row r="68" spans="2:2" ht="42.75" customHeight="1">
      <c r="B68" s="13"/>
    </row>
    <row r="69" spans="2:2" ht="42.75" customHeight="1">
      <c r="B69" s="13"/>
    </row>
    <row r="70" spans="2:2" ht="42.75" customHeight="1">
      <c r="B70" s="13"/>
    </row>
    <row r="71" spans="2:2" ht="42.75" customHeight="1">
      <c r="B71" s="13"/>
    </row>
    <row r="72" spans="2:2" ht="42.75" customHeight="1">
      <c r="B72" s="13"/>
    </row>
    <row r="73" spans="2:2" ht="42.75" customHeight="1">
      <c r="B73" s="13"/>
    </row>
    <row r="74" spans="2:2" ht="42.75" customHeight="1">
      <c r="B74" s="13"/>
    </row>
    <row r="75" spans="2:2" ht="42.75" customHeight="1">
      <c r="B75" s="13"/>
    </row>
    <row r="76" spans="2:2" ht="42.75" customHeight="1">
      <c r="B76" s="13"/>
    </row>
    <row r="77" spans="2:2" ht="42.75" customHeight="1">
      <c r="B77" s="13"/>
    </row>
    <row r="78" spans="2:2" ht="42.75" customHeight="1">
      <c r="B78" s="13"/>
    </row>
    <row r="79" spans="2:2" ht="42.75" customHeight="1">
      <c r="B79" s="13"/>
    </row>
    <row r="80" spans="2:2" ht="42.75" customHeight="1">
      <c r="B80" s="13"/>
    </row>
    <row r="81" spans="2:2" ht="42.75" customHeight="1">
      <c r="B81" s="13"/>
    </row>
    <row r="82" spans="2:2" ht="42.75" customHeight="1">
      <c r="B82" s="13"/>
    </row>
    <row r="83" spans="2:2" ht="42.75" customHeight="1">
      <c r="B83" s="13"/>
    </row>
    <row r="84" spans="2:2" ht="42.75" customHeight="1">
      <c r="B84" s="13"/>
    </row>
    <row r="85" spans="2:2" ht="42.75" customHeight="1">
      <c r="B85" s="13"/>
    </row>
    <row r="86" spans="2:2" ht="42.75" customHeight="1">
      <c r="B86" s="13"/>
    </row>
    <row r="87" spans="2:2" ht="42.75" customHeight="1">
      <c r="B87" s="13"/>
    </row>
    <row r="88" spans="2:2" ht="42.75" customHeight="1">
      <c r="B88" s="13"/>
    </row>
    <row r="89" spans="2:2" ht="42.75" customHeight="1">
      <c r="B89" s="13"/>
    </row>
  </sheetData>
  <pageMargins left="0.7" right="0.7" top="0.75" bottom="0.75" header="0.3" footer="0.3"/>
  <pageSetup orientation="portrait" horizontalDpi="4294967293" verticalDpi="0" r:id="rId1"/>
  <legacyDrawing r:id="rId2"/>
</worksheet>
</file>

<file path=xl/worksheets/sheet12.xml><?xml version="1.0" encoding="utf-8"?>
<worksheet xmlns="http://schemas.openxmlformats.org/spreadsheetml/2006/main" xmlns:r="http://schemas.openxmlformats.org/officeDocument/2006/relationships">
  <dimension ref="A1:G20"/>
  <sheetViews>
    <sheetView workbookViewId="0"/>
  </sheetViews>
  <sheetFormatPr defaultRowHeight="32.450000000000003" customHeight="1"/>
  <cols>
    <col min="1" max="1" width="17.140625" style="95" customWidth="1"/>
    <col min="2" max="2" width="23.28515625" style="95" customWidth="1"/>
    <col min="3" max="3" width="14.140625" style="95" customWidth="1"/>
    <col min="4" max="4" width="27.7109375" style="95" customWidth="1"/>
    <col min="5" max="5" width="13.42578125" style="95" customWidth="1"/>
    <col min="6" max="6" width="15.7109375" style="95" customWidth="1"/>
    <col min="7" max="7" width="14.140625" style="95" customWidth="1"/>
    <col min="8" max="16384" width="9.140625" style="95"/>
  </cols>
  <sheetData>
    <row r="1" spans="1:7" ht="19.5" customHeight="1">
      <c r="A1" s="181" t="s">
        <v>170</v>
      </c>
    </row>
    <row r="2" spans="1:7" ht="19.5" customHeight="1">
      <c r="A2" s="181" t="s">
        <v>171</v>
      </c>
    </row>
    <row r="3" spans="1:7" ht="113.25" customHeight="1" thickBot="1">
      <c r="A3" s="94"/>
      <c r="C3" s="94"/>
    </row>
    <row r="4" spans="1:7" ht="7.5" customHeight="1" thickBot="1">
      <c r="A4" s="96"/>
      <c r="B4" s="97"/>
      <c r="C4" s="98"/>
      <c r="D4" s="97"/>
      <c r="E4" s="97"/>
      <c r="F4" s="97"/>
      <c r="G4" s="99"/>
    </row>
    <row r="5" spans="1:7" ht="56.25" customHeight="1">
      <c r="A5" s="82" t="s">
        <v>42</v>
      </c>
      <c r="B5" s="82" t="s">
        <v>159</v>
      </c>
      <c r="C5" s="82" t="s">
        <v>160</v>
      </c>
      <c r="D5" s="82" t="s">
        <v>161</v>
      </c>
      <c r="E5" s="82" t="s">
        <v>162</v>
      </c>
      <c r="F5" s="82" t="s">
        <v>163</v>
      </c>
      <c r="G5" s="82" t="s">
        <v>47</v>
      </c>
    </row>
    <row r="6" spans="1:7" s="100" customFormat="1" ht="12.75">
      <c r="A6" s="68"/>
      <c r="B6" s="68" t="s">
        <v>173</v>
      </c>
      <c r="C6" s="68" t="s">
        <v>164</v>
      </c>
      <c r="D6" s="68"/>
      <c r="E6" s="68"/>
      <c r="F6" s="68"/>
      <c r="G6" s="68"/>
    </row>
    <row r="7" spans="1:7" s="100" customFormat="1" ht="32.450000000000003" customHeight="1">
      <c r="A7" s="68"/>
      <c r="B7" s="68" t="s">
        <v>174</v>
      </c>
      <c r="C7" s="68" t="s">
        <v>166</v>
      </c>
      <c r="D7" s="68"/>
      <c r="E7" s="68"/>
      <c r="F7" s="68"/>
      <c r="G7" s="68"/>
    </row>
    <row r="8" spans="1:7" s="100" customFormat="1" ht="32.450000000000003" customHeight="1">
      <c r="A8" s="68"/>
      <c r="B8" s="68" t="s">
        <v>175</v>
      </c>
      <c r="C8" s="68" t="s">
        <v>165</v>
      </c>
      <c r="D8" s="68"/>
      <c r="E8" s="68"/>
      <c r="F8" s="68"/>
      <c r="G8" s="68"/>
    </row>
    <row r="9" spans="1:7" s="100" customFormat="1" ht="32.450000000000003" customHeight="1">
      <c r="A9" s="68"/>
      <c r="B9" s="68" t="s">
        <v>176</v>
      </c>
      <c r="C9" s="68" t="s">
        <v>167</v>
      </c>
      <c r="D9" s="68"/>
      <c r="E9" s="68"/>
      <c r="F9" s="68"/>
      <c r="G9" s="68"/>
    </row>
    <row r="10" spans="1:7" s="100" customFormat="1" ht="45.75" customHeight="1">
      <c r="A10" s="68"/>
      <c r="B10" s="68" t="s">
        <v>177</v>
      </c>
      <c r="C10" s="68" t="s">
        <v>172</v>
      </c>
      <c r="D10" s="68"/>
      <c r="E10" s="68"/>
      <c r="F10" s="68"/>
      <c r="G10" s="68"/>
    </row>
    <row r="11" spans="1:7" s="100" customFormat="1" ht="32.450000000000003" customHeight="1">
      <c r="A11" s="68"/>
      <c r="B11" s="68"/>
      <c r="C11" s="68"/>
      <c r="D11" s="68"/>
      <c r="E11" s="68"/>
      <c r="F11" s="68"/>
      <c r="G11" s="68"/>
    </row>
    <row r="12" spans="1:7" s="100" customFormat="1" ht="32.450000000000003" customHeight="1">
      <c r="A12" s="68"/>
      <c r="B12" s="68"/>
      <c r="C12" s="68"/>
      <c r="D12" s="68"/>
      <c r="E12" s="68"/>
      <c r="F12" s="68"/>
      <c r="G12" s="68"/>
    </row>
    <row r="13" spans="1:7" s="100" customFormat="1" ht="32.450000000000003" customHeight="1">
      <c r="A13" s="68"/>
      <c r="B13" s="68"/>
      <c r="C13" s="68"/>
      <c r="D13" s="68"/>
      <c r="E13" s="68"/>
      <c r="F13" s="68"/>
      <c r="G13" s="68"/>
    </row>
    <row r="14" spans="1:7" s="100" customFormat="1" ht="32.450000000000003" customHeight="1">
      <c r="A14" s="68"/>
      <c r="B14" s="68"/>
      <c r="C14" s="68"/>
      <c r="D14" s="68"/>
      <c r="E14" s="68"/>
      <c r="F14" s="68"/>
      <c r="G14" s="68"/>
    </row>
    <row r="15" spans="1:7" s="100" customFormat="1" ht="32.450000000000003" customHeight="1">
      <c r="A15" s="68"/>
      <c r="B15" s="68"/>
      <c r="C15" s="68"/>
      <c r="D15" s="68"/>
      <c r="E15" s="68"/>
      <c r="F15" s="68"/>
      <c r="G15" s="68"/>
    </row>
    <row r="16" spans="1:7" s="100" customFormat="1" ht="32.450000000000003" customHeight="1">
      <c r="A16" s="68"/>
      <c r="B16" s="68"/>
      <c r="C16" s="68"/>
      <c r="D16" s="68"/>
      <c r="E16" s="68"/>
      <c r="F16" s="68"/>
      <c r="G16" s="68"/>
    </row>
    <row r="17" spans="1:7" s="100" customFormat="1" ht="32.450000000000003" customHeight="1">
      <c r="A17" s="68"/>
      <c r="B17" s="68"/>
      <c r="C17" s="68"/>
      <c r="D17" s="68"/>
      <c r="E17" s="68"/>
      <c r="F17" s="68"/>
      <c r="G17" s="68"/>
    </row>
    <row r="18" spans="1:7" s="100" customFormat="1" ht="32.450000000000003" customHeight="1">
      <c r="A18" s="68"/>
      <c r="B18" s="68"/>
      <c r="C18" s="68"/>
      <c r="D18" s="68"/>
      <c r="E18" s="68"/>
      <c r="F18" s="68"/>
      <c r="G18" s="68"/>
    </row>
    <row r="19" spans="1:7" s="100" customFormat="1" ht="32.450000000000003" customHeight="1">
      <c r="A19" s="68"/>
      <c r="B19" s="68"/>
      <c r="C19" s="68"/>
      <c r="D19" s="68"/>
      <c r="E19" s="68"/>
      <c r="F19" s="68"/>
      <c r="G19" s="68"/>
    </row>
    <row r="20" spans="1:7" s="100" customFormat="1" ht="32.450000000000003" customHeight="1">
      <c r="A20" s="68"/>
      <c r="B20" s="68"/>
      <c r="C20" s="68"/>
      <c r="D20" s="68"/>
      <c r="E20" s="68"/>
      <c r="F20" s="68"/>
      <c r="G20" s="68"/>
    </row>
  </sheetData>
  <pageMargins left="0.7" right="0.7" top="0.75" bottom="0.75" header="0.3" footer="0.3"/>
  <drawing r:id="rId1"/>
  <legacyDrawing r:id="rId2"/>
</worksheet>
</file>

<file path=xl/worksheets/sheet13.xml><?xml version="1.0" encoding="utf-8"?>
<worksheet xmlns="http://schemas.openxmlformats.org/spreadsheetml/2006/main" xmlns:r="http://schemas.openxmlformats.org/officeDocument/2006/relationships">
  <dimension ref="A1:F57"/>
  <sheetViews>
    <sheetView workbookViewId="0"/>
  </sheetViews>
  <sheetFormatPr defaultRowHeight="12.75"/>
  <cols>
    <col min="1" max="1" width="18.42578125" style="101" customWidth="1"/>
    <col min="2" max="2" width="14.140625" style="102" customWidth="1"/>
    <col min="3" max="3" width="13.85546875" style="102" customWidth="1"/>
    <col min="4" max="4" width="13.28515625" style="102" customWidth="1"/>
    <col min="5" max="5" width="14" style="102" customWidth="1"/>
    <col min="6" max="6" width="15" style="102" customWidth="1"/>
    <col min="7" max="16384" width="9.140625" style="13"/>
  </cols>
  <sheetData>
    <row r="1" spans="1:6" ht="84" customHeight="1" thickBot="1"/>
    <row r="2" spans="1:6" ht="12" customHeight="1" thickBot="1">
      <c r="A2" s="103"/>
      <c r="B2" s="104"/>
      <c r="C2" s="104"/>
      <c r="D2" s="104"/>
      <c r="E2" s="104"/>
      <c r="F2" s="105"/>
    </row>
    <row r="3" spans="1:6" ht="25.5">
      <c r="A3" s="186" t="s">
        <v>168</v>
      </c>
      <c r="B3" s="186" t="s">
        <v>169</v>
      </c>
      <c r="C3" s="186" t="s">
        <v>169</v>
      </c>
      <c r="D3" s="186" t="s">
        <v>169</v>
      </c>
      <c r="E3" s="186" t="s">
        <v>169</v>
      </c>
      <c r="F3" s="186" t="s">
        <v>169</v>
      </c>
    </row>
    <row r="4" spans="1:6">
      <c r="A4" s="182"/>
      <c r="B4" s="183"/>
      <c r="C4" s="183"/>
      <c r="D4" s="183"/>
      <c r="E4" s="183"/>
      <c r="F4" s="183"/>
    </row>
    <row r="5" spans="1:6">
      <c r="A5" s="182"/>
      <c r="B5" s="183"/>
      <c r="C5" s="183"/>
      <c r="D5" s="183"/>
      <c r="E5" s="183"/>
      <c r="F5" s="183"/>
    </row>
    <row r="6" spans="1:6">
      <c r="A6" s="182"/>
      <c r="B6" s="183"/>
      <c r="C6" s="183"/>
      <c r="D6" s="183"/>
      <c r="E6" s="183"/>
      <c r="F6" s="183"/>
    </row>
    <row r="7" spans="1:6">
      <c r="A7" s="182"/>
      <c r="B7" s="183"/>
      <c r="C7" s="183"/>
      <c r="D7" s="183"/>
      <c r="E7" s="183"/>
      <c r="F7" s="183"/>
    </row>
    <row r="8" spans="1:6">
      <c r="A8" s="182"/>
      <c r="B8" s="183"/>
      <c r="C8" s="183"/>
      <c r="D8" s="183"/>
      <c r="E8" s="183"/>
      <c r="F8" s="183"/>
    </row>
    <row r="9" spans="1:6">
      <c r="A9" s="70"/>
      <c r="B9" s="183"/>
      <c r="C9" s="183"/>
      <c r="D9" s="183"/>
      <c r="E9" s="183"/>
      <c r="F9" s="183"/>
    </row>
    <row r="10" spans="1:6">
      <c r="A10" s="70"/>
      <c r="B10" s="183"/>
      <c r="C10" s="183"/>
      <c r="D10" s="183"/>
      <c r="E10" s="183"/>
      <c r="F10" s="183"/>
    </row>
    <row r="11" spans="1:6">
      <c r="A11" s="70"/>
      <c r="B11" s="183"/>
      <c r="C11" s="183"/>
      <c r="D11" s="183"/>
      <c r="E11" s="183"/>
      <c r="F11" s="183"/>
    </row>
    <row r="12" spans="1:6">
      <c r="A12" s="70"/>
      <c r="B12" s="183"/>
      <c r="C12" s="183"/>
      <c r="D12" s="183"/>
      <c r="E12" s="183"/>
      <c r="F12" s="183"/>
    </row>
    <row r="13" spans="1:6">
      <c r="A13" s="70"/>
      <c r="B13" s="183"/>
      <c r="C13" s="183"/>
      <c r="D13" s="183"/>
      <c r="E13" s="183"/>
      <c r="F13" s="183"/>
    </row>
    <row r="14" spans="1:6">
      <c r="A14" s="70"/>
      <c r="B14" s="183"/>
      <c r="C14" s="183"/>
      <c r="D14" s="183"/>
      <c r="E14" s="183"/>
      <c r="F14" s="183"/>
    </row>
    <row r="15" spans="1:6">
      <c r="A15" s="70"/>
      <c r="B15" s="183"/>
      <c r="C15" s="183"/>
      <c r="D15" s="183"/>
      <c r="E15" s="183"/>
      <c r="F15" s="183"/>
    </row>
    <row r="16" spans="1:6">
      <c r="A16" s="70"/>
      <c r="B16" s="183"/>
      <c r="C16" s="183"/>
      <c r="D16" s="183"/>
      <c r="E16" s="183"/>
      <c r="F16" s="183"/>
    </row>
    <row r="17" spans="1:6">
      <c r="A17" s="70"/>
      <c r="B17" s="183"/>
      <c r="C17" s="183"/>
      <c r="D17" s="183"/>
      <c r="E17" s="183"/>
      <c r="F17" s="183"/>
    </row>
    <row r="18" spans="1:6">
      <c r="A18" s="70"/>
      <c r="B18" s="183"/>
      <c r="C18" s="183"/>
      <c r="D18" s="183"/>
      <c r="E18" s="183"/>
      <c r="F18" s="183"/>
    </row>
    <row r="19" spans="1:6">
      <c r="A19" s="70"/>
      <c r="B19" s="183"/>
      <c r="C19" s="183"/>
      <c r="D19" s="183"/>
      <c r="E19" s="183"/>
      <c r="F19" s="183"/>
    </row>
    <row r="20" spans="1:6">
      <c r="A20" s="70"/>
      <c r="B20" s="183"/>
      <c r="C20" s="183"/>
      <c r="D20" s="183"/>
      <c r="E20" s="183"/>
      <c r="F20" s="183"/>
    </row>
    <row r="21" spans="1:6">
      <c r="A21" s="70"/>
      <c r="B21" s="183"/>
      <c r="C21" s="183"/>
      <c r="D21" s="183"/>
      <c r="E21" s="183"/>
      <c r="F21" s="183"/>
    </row>
    <row r="22" spans="1:6">
      <c r="A22" s="70"/>
      <c r="B22" s="183"/>
      <c r="C22" s="183"/>
      <c r="D22" s="183"/>
      <c r="E22" s="183"/>
      <c r="F22" s="183"/>
    </row>
    <row r="23" spans="1:6">
      <c r="A23" s="70"/>
      <c r="B23" s="183"/>
      <c r="C23" s="183"/>
      <c r="D23" s="183"/>
      <c r="E23" s="183"/>
      <c r="F23" s="183"/>
    </row>
    <row r="24" spans="1:6">
      <c r="A24" s="70"/>
      <c r="B24" s="183"/>
      <c r="C24" s="183"/>
      <c r="D24" s="183"/>
      <c r="E24" s="183"/>
      <c r="F24" s="183"/>
    </row>
    <row r="25" spans="1:6">
      <c r="A25" s="70"/>
      <c r="B25" s="183"/>
      <c r="C25" s="183"/>
      <c r="D25" s="183"/>
      <c r="E25" s="183"/>
      <c r="F25" s="183"/>
    </row>
    <row r="26" spans="1:6">
      <c r="A26" s="70"/>
      <c r="B26" s="183"/>
      <c r="C26" s="183"/>
      <c r="D26" s="183"/>
      <c r="E26" s="183"/>
      <c r="F26" s="183"/>
    </row>
    <row r="27" spans="1:6">
      <c r="A27" s="70"/>
      <c r="B27" s="183"/>
      <c r="C27" s="183"/>
      <c r="D27" s="183"/>
      <c r="E27" s="183"/>
      <c r="F27" s="183"/>
    </row>
    <row r="28" spans="1:6">
      <c r="A28" s="70"/>
      <c r="B28" s="183"/>
      <c r="C28" s="183"/>
      <c r="D28" s="183"/>
      <c r="E28" s="183"/>
      <c r="F28" s="183"/>
    </row>
    <row r="29" spans="1:6">
      <c r="A29" s="70"/>
      <c r="B29" s="183"/>
      <c r="C29" s="183"/>
      <c r="D29" s="183"/>
      <c r="E29" s="183"/>
      <c r="F29" s="183"/>
    </row>
    <row r="30" spans="1:6">
      <c r="A30" s="70"/>
      <c r="B30" s="183"/>
      <c r="C30" s="183"/>
      <c r="D30" s="183"/>
      <c r="E30" s="183"/>
      <c r="F30" s="183"/>
    </row>
    <row r="31" spans="1:6">
      <c r="A31" s="70"/>
      <c r="B31" s="183"/>
      <c r="C31" s="183"/>
      <c r="D31" s="183"/>
      <c r="E31" s="183"/>
      <c r="F31" s="183"/>
    </row>
    <row r="32" spans="1:6">
      <c r="A32" s="70"/>
      <c r="B32" s="183"/>
      <c r="C32" s="183"/>
      <c r="D32" s="183"/>
      <c r="E32" s="183"/>
      <c r="F32" s="183"/>
    </row>
    <row r="33" spans="1:6">
      <c r="A33" s="70"/>
      <c r="B33" s="183"/>
      <c r="C33" s="183"/>
      <c r="D33" s="183"/>
      <c r="E33" s="183"/>
      <c r="F33" s="183"/>
    </row>
    <row r="34" spans="1:6">
      <c r="A34" s="70"/>
      <c r="B34" s="183"/>
      <c r="C34" s="183"/>
      <c r="D34" s="183"/>
      <c r="E34" s="183"/>
      <c r="F34" s="183"/>
    </row>
    <row r="35" spans="1:6">
      <c r="A35" s="70"/>
      <c r="B35" s="183"/>
      <c r="C35" s="183"/>
      <c r="D35" s="183"/>
      <c r="E35" s="183"/>
      <c r="F35" s="183"/>
    </row>
    <row r="36" spans="1:6">
      <c r="A36" s="70"/>
      <c r="B36" s="183"/>
      <c r="C36" s="183"/>
      <c r="D36" s="183"/>
      <c r="E36" s="183"/>
      <c r="F36" s="183"/>
    </row>
    <row r="37" spans="1:6">
      <c r="A37" s="70"/>
      <c r="B37" s="183"/>
      <c r="C37" s="183"/>
      <c r="D37" s="183"/>
      <c r="E37" s="183"/>
      <c r="F37" s="183"/>
    </row>
    <row r="38" spans="1:6">
      <c r="A38" s="70"/>
      <c r="B38" s="183"/>
      <c r="C38" s="183"/>
      <c r="D38" s="183"/>
      <c r="E38" s="183"/>
      <c r="F38" s="183"/>
    </row>
    <row r="39" spans="1:6">
      <c r="A39" s="70"/>
      <c r="B39" s="183"/>
      <c r="C39" s="183"/>
      <c r="D39" s="183"/>
      <c r="E39" s="183"/>
      <c r="F39" s="183"/>
    </row>
    <row r="40" spans="1:6">
      <c r="A40" s="70"/>
      <c r="B40" s="183"/>
      <c r="C40" s="183"/>
      <c r="D40" s="183"/>
      <c r="E40" s="183"/>
      <c r="F40" s="183"/>
    </row>
    <row r="41" spans="1:6">
      <c r="A41" s="70"/>
      <c r="B41" s="183"/>
      <c r="C41" s="183"/>
      <c r="D41" s="183"/>
      <c r="E41" s="183"/>
      <c r="F41" s="183"/>
    </row>
    <row r="42" spans="1:6">
      <c r="A42" s="70"/>
      <c r="B42" s="183"/>
      <c r="C42" s="183"/>
      <c r="D42" s="183"/>
      <c r="E42" s="183"/>
      <c r="F42" s="183"/>
    </row>
    <row r="43" spans="1:6">
      <c r="A43" s="70"/>
      <c r="B43" s="183"/>
      <c r="C43" s="183"/>
      <c r="D43" s="183"/>
      <c r="E43" s="183"/>
      <c r="F43" s="183"/>
    </row>
    <row r="44" spans="1:6">
      <c r="A44" s="70"/>
      <c r="B44" s="183"/>
      <c r="C44" s="183"/>
      <c r="D44" s="183"/>
      <c r="E44" s="183"/>
      <c r="F44" s="183"/>
    </row>
    <row r="45" spans="1:6">
      <c r="A45" s="70"/>
      <c r="B45" s="183"/>
      <c r="C45" s="183"/>
      <c r="D45" s="183"/>
      <c r="E45" s="183"/>
      <c r="F45" s="183"/>
    </row>
    <row r="46" spans="1:6">
      <c r="A46" s="70"/>
      <c r="B46" s="183"/>
      <c r="C46" s="183"/>
      <c r="D46" s="183"/>
      <c r="E46" s="183"/>
      <c r="F46" s="183"/>
    </row>
    <row r="47" spans="1:6">
      <c r="A47" s="70"/>
      <c r="B47" s="183"/>
      <c r="C47" s="183"/>
      <c r="D47" s="183"/>
      <c r="E47" s="183"/>
      <c r="F47" s="183"/>
    </row>
    <row r="48" spans="1:6">
      <c r="A48" s="70"/>
      <c r="B48" s="183"/>
      <c r="C48" s="183"/>
      <c r="D48" s="183"/>
      <c r="E48" s="183"/>
      <c r="F48" s="183"/>
    </row>
    <row r="49" spans="1:6">
      <c r="A49" s="70"/>
      <c r="B49" s="183"/>
      <c r="C49" s="183"/>
      <c r="D49" s="183"/>
      <c r="E49" s="183"/>
      <c r="F49" s="183"/>
    </row>
    <row r="50" spans="1:6">
      <c r="A50" s="70"/>
      <c r="B50" s="183"/>
      <c r="C50" s="183"/>
      <c r="D50" s="183"/>
      <c r="E50" s="183"/>
      <c r="F50" s="183"/>
    </row>
    <row r="51" spans="1:6">
      <c r="A51" s="70"/>
      <c r="B51" s="183"/>
      <c r="C51" s="183"/>
      <c r="D51" s="183"/>
      <c r="E51" s="183"/>
      <c r="F51" s="183"/>
    </row>
    <row r="52" spans="1:6">
      <c r="A52" s="70"/>
      <c r="B52" s="183"/>
      <c r="C52" s="183"/>
      <c r="D52" s="183"/>
      <c r="E52" s="183"/>
      <c r="F52" s="183"/>
    </row>
    <row r="53" spans="1:6">
      <c r="A53" s="70"/>
      <c r="B53" s="183"/>
      <c r="C53" s="183"/>
      <c r="D53" s="183"/>
      <c r="E53" s="183"/>
      <c r="F53" s="183"/>
    </row>
    <row r="54" spans="1:6">
      <c r="A54" s="70"/>
      <c r="B54" s="183"/>
      <c r="C54" s="183"/>
      <c r="D54" s="183"/>
      <c r="E54" s="183"/>
      <c r="F54" s="183"/>
    </row>
    <row r="55" spans="1:6">
      <c r="A55" s="70"/>
      <c r="B55" s="183"/>
      <c r="C55" s="183"/>
      <c r="D55" s="183"/>
      <c r="E55" s="183"/>
      <c r="F55" s="183"/>
    </row>
    <row r="56" spans="1:6">
      <c r="A56" s="70"/>
      <c r="B56" s="183"/>
      <c r="C56" s="183"/>
      <c r="D56" s="183"/>
      <c r="E56" s="183"/>
      <c r="F56" s="183"/>
    </row>
    <row r="57" spans="1:6">
      <c r="A57" s="70"/>
      <c r="B57" s="183"/>
      <c r="C57" s="183"/>
      <c r="D57" s="183"/>
      <c r="E57" s="183"/>
      <c r="F57" s="183"/>
    </row>
  </sheetData>
  <pageMargins left="0.7" right="0.7" top="0.75" bottom="0.75" header="0.3" footer="0.3"/>
  <drawing r:id="rId1"/>
  <legacyDrawing r:id="rId2"/>
</worksheet>
</file>

<file path=xl/worksheets/sheet14.xml><?xml version="1.0" encoding="utf-8"?>
<worksheet xmlns="http://schemas.openxmlformats.org/spreadsheetml/2006/main" xmlns:r="http://schemas.openxmlformats.org/officeDocument/2006/relationships">
  <dimension ref="A1:U112"/>
  <sheetViews>
    <sheetView zoomScaleNormal="100" workbookViewId="0">
      <selection activeCell="E4" sqref="E4"/>
    </sheetView>
  </sheetViews>
  <sheetFormatPr defaultRowHeight="12.75"/>
  <cols>
    <col min="1" max="1" width="9.5703125" style="115" customWidth="1"/>
    <col min="2" max="2" width="11.7109375" style="115" customWidth="1"/>
    <col min="3" max="3" width="9.28515625" style="115" customWidth="1"/>
    <col min="4" max="4" width="10.7109375" style="115" customWidth="1"/>
    <col min="5" max="5" width="20.140625" style="116" customWidth="1"/>
    <col min="6" max="6" width="34.85546875" style="116" customWidth="1"/>
    <col min="7" max="8" width="10.85546875" style="13" customWidth="1"/>
    <col min="9" max="10" width="13.5703125" style="115" customWidth="1"/>
    <col min="11" max="11" width="20.140625" style="116" customWidth="1"/>
    <col min="12" max="12" width="25.7109375" style="160" customWidth="1"/>
    <col min="13" max="13" width="18.140625" style="115" customWidth="1"/>
    <col min="14" max="14" width="18" style="165" hidden="1" customWidth="1"/>
    <col min="15" max="15" width="15.28515625" style="165" hidden="1" customWidth="1"/>
    <col min="16" max="16" width="14" style="116" hidden="1" customWidth="1"/>
    <col min="17" max="17" width="13" style="131" hidden="1" customWidth="1"/>
    <col min="18" max="18" width="18.5703125" style="13" customWidth="1"/>
    <col min="19" max="19" width="16.7109375" style="13" customWidth="1"/>
    <col min="20" max="20" width="17.5703125" style="131" customWidth="1"/>
    <col min="21" max="21" width="9.140625" style="116"/>
    <col min="22" max="16384" width="9.140625" style="131"/>
  </cols>
  <sheetData>
    <row r="1" spans="1:21" ht="30.75" customHeight="1" thickBot="1">
      <c r="A1" s="37"/>
      <c r="B1" s="37"/>
      <c r="C1" s="37"/>
      <c r="D1" s="37"/>
      <c r="E1" s="70"/>
      <c r="F1" s="70"/>
      <c r="G1" s="70"/>
      <c r="H1" s="70"/>
      <c r="I1" s="37"/>
      <c r="J1" s="37"/>
      <c r="K1" s="70"/>
      <c r="L1" s="130"/>
      <c r="M1" s="37"/>
      <c r="N1" s="68"/>
      <c r="O1" s="68"/>
      <c r="P1" s="70"/>
      <c r="Q1" s="70"/>
      <c r="R1" s="59"/>
      <c r="T1" s="70"/>
    </row>
    <row r="2" spans="1:21" ht="11.25" customHeight="1" thickBot="1">
      <c r="A2" s="134"/>
      <c r="B2" s="134"/>
      <c r="C2" s="134"/>
      <c r="D2" s="134"/>
      <c r="E2" s="136"/>
      <c r="F2" s="136"/>
      <c r="G2" s="136"/>
      <c r="H2" s="136"/>
      <c r="I2" s="134"/>
      <c r="J2" s="134"/>
      <c r="K2" s="136"/>
      <c r="L2" s="137"/>
      <c r="M2" s="134"/>
      <c r="N2" s="138"/>
      <c r="O2" s="138"/>
      <c r="P2" s="136"/>
      <c r="Q2" s="136"/>
      <c r="R2" s="133"/>
      <c r="S2" s="139"/>
      <c r="T2" s="136"/>
    </row>
    <row r="3" spans="1:21" s="13" customFormat="1" ht="38.25">
      <c r="A3" s="56" t="s">
        <v>42</v>
      </c>
      <c r="B3" s="56" t="s">
        <v>210</v>
      </c>
      <c r="C3" s="56" t="s">
        <v>43</v>
      </c>
      <c r="D3" s="56" t="s">
        <v>44</v>
      </c>
      <c r="E3" s="56" t="s">
        <v>207</v>
      </c>
      <c r="F3" s="56" t="s">
        <v>211</v>
      </c>
      <c r="G3" s="56" t="s">
        <v>216</v>
      </c>
      <c r="H3" s="56" t="s">
        <v>215</v>
      </c>
      <c r="I3" s="56" t="s">
        <v>61</v>
      </c>
      <c r="J3" s="56" t="s">
        <v>62</v>
      </c>
      <c r="K3" s="56" t="s">
        <v>64</v>
      </c>
      <c r="L3" s="56" t="s">
        <v>213</v>
      </c>
      <c r="M3" s="56" t="s">
        <v>26</v>
      </c>
      <c r="N3" s="56" t="s">
        <v>67</v>
      </c>
      <c r="O3" s="56" t="s">
        <v>68</v>
      </c>
      <c r="P3" s="56" t="s">
        <v>47</v>
      </c>
      <c r="Q3" s="56" t="s">
        <v>69</v>
      </c>
      <c r="R3" s="56" t="s">
        <v>212</v>
      </c>
      <c r="S3" s="54" t="s">
        <v>70</v>
      </c>
      <c r="T3" s="56" t="s">
        <v>47</v>
      </c>
      <c r="U3" s="132"/>
    </row>
    <row r="4" spans="1:21" s="13" customFormat="1">
      <c r="A4" s="127">
        <v>1</v>
      </c>
      <c r="B4" s="127">
        <v>1</v>
      </c>
      <c r="C4" s="37"/>
      <c r="D4" s="37"/>
      <c r="E4" s="140" t="s">
        <v>209</v>
      </c>
      <c r="F4" s="70"/>
      <c r="G4" s="70"/>
      <c r="H4" s="70"/>
      <c r="I4" s="37"/>
      <c r="J4" s="37"/>
      <c r="K4" s="140"/>
      <c r="L4" s="53"/>
      <c r="M4" s="37"/>
      <c r="N4" s="127"/>
      <c r="O4" s="127"/>
      <c r="P4" s="128"/>
      <c r="Q4" s="128"/>
      <c r="R4" s="59"/>
      <c r="S4" s="127"/>
      <c r="T4" s="128"/>
      <c r="U4" s="132"/>
    </row>
    <row r="5" spans="1:21" s="13" customFormat="1">
      <c r="A5" s="127">
        <v>2</v>
      </c>
      <c r="B5" s="127">
        <v>2</v>
      </c>
      <c r="C5" s="37"/>
      <c r="D5" s="37"/>
      <c r="E5" s="140"/>
      <c r="F5" s="70"/>
      <c r="G5" s="70"/>
      <c r="H5" s="70"/>
      <c r="I5" s="37"/>
      <c r="J5" s="37"/>
      <c r="K5" s="140"/>
      <c r="L5" s="53"/>
      <c r="M5" s="37"/>
      <c r="N5" s="53"/>
      <c r="O5" s="53"/>
      <c r="P5" s="128"/>
      <c r="Q5" s="128"/>
      <c r="R5" s="59"/>
      <c r="S5" s="53"/>
      <c r="T5" s="128"/>
      <c r="U5" s="132"/>
    </row>
    <row r="6" spans="1:21" s="13" customFormat="1">
      <c r="A6" s="127">
        <v>3</v>
      </c>
      <c r="B6" s="127">
        <v>3</v>
      </c>
      <c r="C6" s="37"/>
      <c r="D6" s="37"/>
      <c r="E6" s="140"/>
      <c r="F6" s="70"/>
      <c r="G6" s="70"/>
      <c r="H6" s="70"/>
      <c r="I6" s="37"/>
      <c r="J6" s="37"/>
      <c r="K6" s="140"/>
      <c r="L6" s="53"/>
      <c r="M6" s="37"/>
      <c r="N6" s="53"/>
      <c r="O6" s="53"/>
      <c r="P6" s="128"/>
      <c r="Q6" s="128"/>
      <c r="R6" s="59"/>
      <c r="S6" s="53"/>
      <c r="T6" s="128"/>
      <c r="U6" s="132"/>
    </row>
    <row r="7" spans="1:21" s="13" customFormat="1">
      <c r="A7" s="127">
        <v>4</v>
      </c>
      <c r="B7" s="127">
        <v>4</v>
      </c>
      <c r="C7" s="37"/>
      <c r="D7" s="37"/>
      <c r="E7" s="140"/>
      <c r="F7" s="70"/>
      <c r="G7" s="70"/>
      <c r="H7" s="70"/>
      <c r="I7" s="37"/>
      <c r="J7" s="37"/>
      <c r="K7" s="140"/>
      <c r="L7" s="53"/>
      <c r="M7" s="37"/>
      <c r="N7" s="53"/>
      <c r="O7" s="59"/>
      <c r="P7" s="128"/>
      <c r="Q7" s="128"/>
      <c r="R7" s="59"/>
      <c r="S7" s="53"/>
      <c r="T7" s="128"/>
      <c r="U7" s="132"/>
    </row>
    <row r="8" spans="1:21" s="13" customFormat="1">
      <c r="A8" s="127">
        <v>5</v>
      </c>
      <c r="B8" s="127">
        <v>5</v>
      </c>
      <c r="C8" s="37"/>
      <c r="D8" s="37"/>
      <c r="E8" s="140"/>
      <c r="F8" s="70"/>
      <c r="G8" s="70"/>
      <c r="H8" s="70"/>
      <c r="I8" s="37"/>
      <c r="J8" s="37"/>
      <c r="K8" s="140"/>
      <c r="L8" s="53"/>
      <c r="M8" s="37"/>
      <c r="N8" s="127"/>
      <c r="O8" s="127"/>
      <c r="P8" s="128"/>
      <c r="Q8" s="128"/>
      <c r="R8" s="59"/>
      <c r="S8" s="53"/>
      <c r="T8" s="128"/>
      <c r="U8" s="132"/>
    </row>
    <row r="9" spans="1:21" s="13" customFormat="1">
      <c r="A9" s="127">
        <v>6</v>
      </c>
      <c r="B9" s="127">
        <v>6</v>
      </c>
      <c r="C9" s="37"/>
      <c r="D9" s="37"/>
      <c r="E9" s="140"/>
      <c r="F9" s="70"/>
      <c r="G9" s="70"/>
      <c r="H9" s="70"/>
      <c r="I9" s="37"/>
      <c r="J9" s="37"/>
      <c r="K9" s="140"/>
      <c r="L9" s="53"/>
      <c r="M9" s="37"/>
      <c r="N9" s="127"/>
      <c r="O9" s="127"/>
      <c r="P9" s="128"/>
      <c r="Q9" s="128"/>
      <c r="R9" s="59"/>
      <c r="S9" s="53"/>
      <c r="T9" s="128"/>
      <c r="U9" s="132"/>
    </row>
    <row r="10" spans="1:21" s="13" customFormat="1">
      <c r="A10" s="127">
        <v>7</v>
      </c>
      <c r="B10" s="127">
        <v>7</v>
      </c>
      <c r="C10" s="37"/>
      <c r="D10" s="37"/>
      <c r="E10" s="140"/>
      <c r="F10" s="70"/>
      <c r="G10" s="70"/>
      <c r="H10" s="70"/>
      <c r="I10" s="37"/>
      <c r="J10" s="37"/>
      <c r="K10" s="140"/>
      <c r="L10" s="53"/>
      <c r="M10" s="37"/>
      <c r="N10" s="127"/>
      <c r="O10" s="127"/>
      <c r="P10" s="128"/>
      <c r="Q10" s="128"/>
      <c r="R10" s="59"/>
      <c r="S10" s="127"/>
      <c r="T10" s="128"/>
      <c r="U10" s="132"/>
    </row>
    <row r="11" spans="1:21" s="13" customFormat="1">
      <c r="A11" s="127">
        <v>8</v>
      </c>
      <c r="B11" s="127">
        <v>8</v>
      </c>
      <c r="C11" s="37"/>
      <c r="D11" s="37"/>
      <c r="E11" s="140"/>
      <c r="F11" s="70"/>
      <c r="G11" s="70"/>
      <c r="H11" s="70"/>
      <c r="I11" s="37"/>
      <c r="J11" s="37"/>
      <c r="K11" s="140"/>
      <c r="L11" s="53"/>
      <c r="M11" s="37"/>
      <c r="N11" s="127"/>
      <c r="O11" s="127"/>
      <c r="P11" s="128"/>
      <c r="Q11" s="128"/>
      <c r="R11" s="59"/>
      <c r="S11" s="64"/>
      <c r="T11" s="128"/>
      <c r="U11" s="132"/>
    </row>
    <row r="12" spans="1:21" s="13" customFormat="1">
      <c r="A12" s="127">
        <v>9</v>
      </c>
      <c r="B12" s="127">
        <v>9</v>
      </c>
      <c r="C12" s="37"/>
      <c r="D12" s="37"/>
      <c r="E12" s="128"/>
      <c r="F12" s="70"/>
      <c r="G12" s="70"/>
      <c r="H12" s="70"/>
      <c r="I12" s="37"/>
      <c r="J12" s="37"/>
      <c r="K12" s="140"/>
      <c r="L12" s="53"/>
      <c r="M12" s="37"/>
      <c r="N12" s="127"/>
      <c r="O12" s="127"/>
      <c r="P12" s="128"/>
      <c r="Q12" s="128"/>
      <c r="R12" s="59"/>
      <c r="S12" s="64"/>
      <c r="T12" s="128"/>
      <c r="U12" s="132"/>
    </row>
    <row r="13" spans="1:21" s="13" customFormat="1">
      <c r="A13" s="127">
        <v>10</v>
      </c>
      <c r="B13" s="127">
        <v>10</v>
      </c>
      <c r="C13" s="37"/>
      <c r="D13" s="37"/>
      <c r="E13" s="140"/>
      <c r="F13" s="70"/>
      <c r="G13" s="70"/>
      <c r="H13" s="70"/>
      <c r="I13" s="37"/>
      <c r="J13" s="37"/>
      <c r="K13" s="140"/>
      <c r="L13" s="53"/>
      <c r="M13" s="37"/>
      <c r="N13" s="127"/>
      <c r="O13" s="127"/>
      <c r="P13" s="128"/>
      <c r="Q13" s="128"/>
      <c r="R13" s="59"/>
      <c r="S13" s="64"/>
      <c r="T13" s="128"/>
      <c r="U13" s="132"/>
    </row>
    <row r="14" spans="1:21" s="13" customFormat="1">
      <c r="A14" s="127">
        <v>11</v>
      </c>
      <c r="B14" s="127">
        <v>11</v>
      </c>
      <c r="C14" s="37"/>
      <c r="D14" s="37"/>
      <c r="E14" s="141"/>
      <c r="F14" s="53"/>
      <c r="G14" s="53"/>
      <c r="H14" s="53"/>
      <c r="I14" s="37"/>
      <c r="J14" s="37"/>
      <c r="K14" s="140"/>
      <c r="L14" s="141"/>
      <c r="M14" s="37"/>
      <c r="N14" s="59"/>
      <c r="O14" s="141"/>
      <c r="P14" s="53"/>
      <c r="Q14" s="53"/>
      <c r="R14" s="59"/>
      <c r="S14" s="64"/>
      <c r="T14" s="53"/>
      <c r="U14" s="132"/>
    </row>
    <row r="15" spans="1:21" s="13" customFormat="1">
      <c r="A15" s="127">
        <v>12</v>
      </c>
      <c r="B15" s="127">
        <v>12</v>
      </c>
      <c r="C15" s="37"/>
      <c r="D15" s="37"/>
      <c r="E15" s="141"/>
      <c r="F15" s="53"/>
      <c r="G15" s="53"/>
      <c r="H15" s="53"/>
      <c r="I15" s="37"/>
      <c r="J15" s="37"/>
      <c r="K15" s="140"/>
      <c r="L15" s="141"/>
      <c r="M15" s="37"/>
      <c r="N15" s="59"/>
      <c r="O15" s="141"/>
      <c r="P15" s="53"/>
      <c r="Q15" s="53"/>
      <c r="R15" s="59"/>
      <c r="S15" s="64"/>
      <c r="T15" s="53"/>
      <c r="U15" s="132"/>
    </row>
    <row r="16" spans="1:21" s="58" customFormat="1">
      <c r="A16" s="127">
        <v>13</v>
      </c>
      <c r="B16" s="127">
        <v>13</v>
      </c>
      <c r="C16" s="37"/>
      <c r="D16" s="37"/>
      <c r="E16" s="140"/>
      <c r="F16" s="53"/>
      <c r="G16" s="59"/>
      <c r="H16" s="59"/>
      <c r="I16" s="37"/>
      <c r="J16" s="37"/>
      <c r="K16" s="140"/>
      <c r="L16" s="141"/>
      <c r="M16" s="37"/>
      <c r="N16" s="141"/>
      <c r="O16" s="141"/>
      <c r="P16" s="53"/>
      <c r="Q16" s="53"/>
      <c r="R16" s="53"/>
      <c r="S16" s="64"/>
      <c r="T16" s="53"/>
      <c r="U16" s="142"/>
    </row>
    <row r="17" spans="1:21" s="58" customFormat="1">
      <c r="A17" s="127">
        <v>14</v>
      </c>
      <c r="B17" s="127">
        <v>14</v>
      </c>
      <c r="C17" s="37"/>
      <c r="D17" s="37"/>
      <c r="E17" s="140"/>
      <c r="F17" s="53"/>
      <c r="G17" s="59"/>
      <c r="H17" s="59"/>
      <c r="I17" s="37"/>
      <c r="J17" s="37"/>
      <c r="K17" s="140"/>
      <c r="L17" s="141"/>
      <c r="M17" s="37"/>
      <c r="N17" s="141"/>
      <c r="O17" s="141"/>
      <c r="P17" s="53"/>
      <c r="Q17" s="53"/>
      <c r="R17" s="53"/>
      <c r="S17" s="64"/>
      <c r="T17" s="53"/>
      <c r="U17" s="142"/>
    </row>
    <row r="18" spans="1:21" s="132" customFormat="1">
      <c r="A18" s="188" t="s">
        <v>214</v>
      </c>
      <c r="B18" s="188" t="s">
        <v>214</v>
      </c>
      <c r="C18" s="188"/>
      <c r="D18" s="189"/>
      <c r="E18" s="188"/>
      <c r="F18" s="188"/>
      <c r="G18" s="188"/>
      <c r="H18" s="188"/>
      <c r="I18" s="190"/>
      <c r="J18" s="190"/>
      <c r="K18" s="190"/>
      <c r="L18" s="190"/>
      <c r="M18" s="190"/>
      <c r="N18" s="190"/>
      <c r="O18" s="190"/>
      <c r="P18" s="190"/>
      <c r="Q18" s="190"/>
      <c r="R18" s="190"/>
      <c r="S18" s="190"/>
      <c r="T18" s="190"/>
    </row>
    <row r="19" spans="1:21" s="58" customFormat="1">
      <c r="A19" s="127">
        <v>15</v>
      </c>
      <c r="B19" s="127">
        <v>15</v>
      </c>
      <c r="C19" s="37"/>
      <c r="D19" s="37"/>
      <c r="E19" s="140"/>
      <c r="F19" s="53"/>
      <c r="G19" s="59"/>
      <c r="H19" s="59"/>
      <c r="I19" s="37"/>
      <c r="J19" s="37"/>
      <c r="K19" s="140"/>
      <c r="L19" s="141"/>
      <c r="M19" s="37"/>
      <c r="N19" s="141"/>
      <c r="O19" s="141"/>
      <c r="P19" s="53"/>
      <c r="Q19" s="53"/>
      <c r="R19" s="53"/>
      <c r="S19" s="64"/>
      <c r="T19" s="53"/>
      <c r="U19" s="142"/>
    </row>
    <row r="20" spans="1:21" s="58" customFormat="1">
      <c r="A20" s="127">
        <v>16</v>
      </c>
      <c r="B20" s="127">
        <v>16</v>
      </c>
      <c r="C20" s="37"/>
      <c r="D20" s="37"/>
      <c r="E20" s="140"/>
      <c r="F20" s="53"/>
      <c r="G20" s="59"/>
      <c r="H20" s="59"/>
      <c r="I20" s="37"/>
      <c r="J20" s="37"/>
      <c r="K20" s="140"/>
      <c r="L20" s="53"/>
      <c r="M20" s="37"/>
      <c r="N20" s="141"/>
      <c r="O20" s="141"/>
      <c r="P20" s="53"/>
      <c r="Q20" s="53"/>
      <c r="R20" s="53"/>
      <c r="S20" s="59"/>
      <c r="T20" s="53"/>
      <c r="U20" s="142"/>
    </row>
    <row r="21" spans="1:21" s="58" customFormat="1">
      <c r="A21" s="127">
        <v>17</v>
      </c>
      <c r="B21" s="127">
        <v>17</v>
      </c>
      <c r="C21" s="37"/>
      <c r="D21" s="37"/>
      <c r="E21" s="140"/>
      <c r="F21" s="53"/>
      <c r="G21" s="59"/>
      <c r="H21" s="59"/>
      <c r="I21" s="37"/>
      <c r="J21" s="37"/>
      <c r="K21" s="140"/>
      <c r="L21" s="141"/>
      <c r="M21" s="37"/>
      <c r="N21" s="141"/>
      <c r="O21" s="141"/>
      <c r="P21" s="53"/>
      <c r="Q21" s="53"/>
      <c r="R21" s="53"/>
      <c r="S21" s="59"/>
      <c r="T21" s="53"/>
      <c r="U21" s="142"/>
    </row>
    <row r="22" spans="1:21" s="148" customFormat="1">
      <c r="A22" s="127">
        <v>18</v>
      </c>
      <c r="B22" s="127">
        <v>18</v>
      </c>
      <c r="C22" s="143"/>
      <c r="D22" s="37"/>
      <c r="E22" s="145"/>
      <c r="F22" s="144"/>
      <c r="G22" s="59"/>
      <c r="H22" s="59"/>
      <c r="I22" s="143"/>
      <c r="J22" s="143"/>
      <c r="K22" s="145"/>
      <c r="L22" s="146"/>
      <c r="M22" s="143"/>
      <c r="N22" s="146"/>
      <c r="O22" s="146"/>
      <c r="P22" s="144"/>
      <c r="Q22" s="144"/>
      <c r="R22" s="144"/>
      <c r="S22" s="59"/>
      <c r="T22" s="144"/>
      <c r="U22" s="147"/>
    </row>
    <row r="23" spans="1:21" s="58" customFormat="1">
      <c r="A23" s="127">
        <v>19</v>
      </c>
      <c r="B23" s="127">
        <v>19</v>
      </c>
      <c r="C23" s="37"/>
      <c r="D23" s="37"/>
      <c r="E23" s="140"/>
      <c r="F23" s="53"/>
      <c r="G23" s="59"/>
      <c r="H23" s="59"/>
      <c r="I23" s="37"/>
      <c r="J23" s="37"/>
      <c r="K23" s="140"/>
      <c r="L23" s="141"/>
      <c r="M23" s="37"/>
      <c r="N23" s="141"/>
      <c r="O23" s="141"/>
      <c r="P23" s="53"/>
      <c r="Q23" s="53"/>
      <c r="R23" s="53"/>
      <c r="S23" s="59"/>
      <c r="T23" s="53"/>
      <c r="U23" s="142"/>
    </row>
    <row r="24" spans="1:21" s="58" customFormat="1" ht="16.5" customHeight="1">
      <c r="A24" s="127">
        <v>20</v>
      </c>
      <c r="B24" s="127">
        <v>20</v>
      </c>
      <c r="C24" s="37"/>
      <c r="D24" s="37"/>
      <c r="E24" s="140"/>
      <c r="F24" s="53"/>
      <c r="G24" s="59"/>
      <c r="H24" s="59"/>
      <c r="I24" s="37"/>
      <c r="J24" s="37"/>
      <c r="K24" s="140"/>
      <c r="L24" s="141"/>
      <c r="M24" s="37"/>
      <c r="N24" s="141"/>
      <c r="O24" s="141"/>
      <c r="P24" s="53"/>
      <c r="Q24" s="53"/>
      <c r="R24" s="53"/>
      <c r="S24" s="59"/>
      <c r="T24" s="53"/>
      <c r="U24" s="142"/>
    </row>
    <row r="25" spans="1:21" s="58" customFormat="1">
      <c r="A25" s="127">
        <v>21</v>
      </c>
      <c r="B25" s="127">
        <v>21</v>
      </c>
      <c r="C25" s="37"/>
      <c r="D25" s="37"/>
      <c r="E25" s="140"/>
      <c r="F25" s="53"/>
      <c r="G25" s="59"/>
      <c r="H25" s="59"/>
      <c r="I25" s="37"/>
      <c r="J25" s="37"/>
      <c r="K25" s="140"/>
      <c r="L25" s="141"/>
      <c r="M25" s="37"/>
      <c r="N25" s="141"/>
      <c r="O25" s="141"/>
      <c r="P25" s="53"/>
      <c r="Q25" s="53"/>
      <c r="R25" s="53"/>
      <c r="S25" s="59"/>
      <c r="T25" s="53"/>
      <c r="U25" s="142"/>
    </row>
    <row r="26" spans="1:21" s="58" customFormat="1">
      <c r="A26" s="127">
        <v>22</v>
      </c>
      <c r="B26" s="127">
        <v>22</v>
      </c>
      <c r="C26" s="37"/>
      <c r="D26" s="37"/>
      <c r="E26" s="140"/>
      <c r="F26" s="53"/>
      <c r="G26" s="59"/>
      <c r="H26" s="59"/>
      <c r="I26" s="37"/>
      <c r="J26" s="37"/>
      <c r="K26" s="140"/>
      <c r="L26" s="141"/>
      <c r="M26" s="37"/>
      <c r="N26" s="141"/>
      <c r="O26" s="141"/>
      <c r="P26" s="53"/>
      <c r="Q26" s="53"/>
      <c r="R26" s="53"/>
      <c r="S26" s="59"/>
      <c r="T26" s="53"/>
      <c r="U26" s="142"/>
    </row>
    <row r="27" spans="1:21" s="58" customFormat="1" ht="14.25" customHeight="1">
      <c r="A27" s="127">
        <v>23</v>
      </c>
      <c r="B27" s="127">
        <v>23</v>
      </c>
      <c r="C27" s="37"/>
      <c r="D27" s="37"/>
      <c r="E27" s="140"/>
      <c r="F27" s="149"/>
      <c r="G27" s="59"/>
      <c r="H27" s="59"/>
      <c r="I27" s="37"/>
      <c r="J27" s="37"/>
      <c r="K27" s="140"/>
      <c r="L27" s="141"/>
      <c r="M27" s="37"/>
      <c r="N27" s="141"/>
      <c r="O27" s="141"/>
      <c r="P27" s="53"/>
      <c r="Q27" s="53"/>
      <c r="R27" s="53"/>
      <c r="S27" s="59"/>
      <c r="T27" s="53"/>
      <c r="U27" s="142"/>
    </row>
    <row r="28" spans="1:21" s="58" customFormat="1">
      <c r="A28" s="127">
        <v>24</v>
      </c>
      <c r="B28" s="127">
        <v>24</v>
      </c>
      <c r="C28" s="37"/>
      <c r="D28" s="37"/>
      <c r="E28" s="140"/>
      <c r="F28" s="149"/>
      <c r="G28" s="59"/>
      <c r="H28" s="59"/>
      <c r="I28" s="37"/>
      <c r="J28" s="37"/>
      <c r="K28" s="140"/>
      <c r="L28" s="141"/>
      <c r="M28" s="37"/>
      <c r="N28" s="141"/>
      <c r="O28" s="141"/>
      <c r="P28" s="53"/>
      <c r="Q28" s="53"/>
      <c r="R28" s="53"/>
      <c r="S28" s="59"/>
      <c r="T28" s="53"/>
      <c r="U28" s="142"/>
    </row>
    <row r="29" spans="1:21" s="58" customFormat="1">
      <c r="A29" s="127">
        <v>25</v>
      </c>
      <c r="B29" s="127">
        <v>25</v>
      </c>
      <c r="C29" s="37"/>
      <c r="D29" s="37"/>
      <c r="E29" s="140"/>
      <c r="F29" s="149"/>
      <c r="G29" s="59"/>
      <c r="H29" s="59"/>
      <c r="I29" s="37"/>
      <c r="J29" s="37"/>
      <c r="K29" s="140"/>
      <c r="L29" s="141"/>
      <c r="M29" s="37"/>
      <c r="N29" s="141"/>
      <c r="O29" s="141"/>
      <c r="P29" s="53"/>
      <c r="Q29" s="53"/>
      <c r="R29" s="53"/>
      <c r="S29" s="59"/>
      <c r="T29" s="53"/>
      <c r="U29" s="142"/>
    </row>
    <row r="30" spans="1:21" s="58" customFormat="1" ht="16.5" customHeight="1">
      <c r="A30" s="127">
        <v>26</v>
      </c>
      <c r="B30" s="127">
        <v>26</v>
      </c>
      <c r="C30" s="37"/>
      <c r="D30" s="37"/>
      <c r="E30" s="140"/>
      <c r="F30" s="149"/>
      <c r="G30" s="59"/>
      <c r="H30" s="59"/>
      <c r="I30" s="37"/>
      <c r="J30" s="37"/>
      <c r="K30" s="140"/>
      <c r="L30" s="141"/>
      <c r="M30" s="37"/>
      <c r="N30" s="141"/>
      <c r="O30" s="141"/>
      <c r="P30" s="53"/>
      <c r="Q30" s="53"/>
      <c r="R30" s="53"/>
      <c r="S30" s="59"/>
      <c r="T30" s="53"/>
      <c r="U30" s="142"/>
    </row>
    <row r="31" spans="1:21" s="58" customFormat="1">
      <c r="A31" s="127">
        <v>27</v>
      </c>
      <c r="B31" s="127">
        <v>27</v>
      </c>
      <c r="C31" s="37"/>
      <c r="D31" s="37"/>
      <c r="E31" s="140"/>
      <c r="F31" s="149"/>
      <c r="G31" s="59"/>
      <c r="H31" s="59"/>
      <c r="I31" s="37"/>
      <c r="J31" s="37"/>
      <c r="K31" s="140"/>
      <c r="L31" s="141"/>
      <c r="M31" s="37"/>
      <c r="N31" s="141"/>
      <c r="O31" s="141"/>
      <c r="P31" s="53"/>
      <c r="Q31" s="53"/>
      <c r="R31" s="53"/>
      <c r="S31" s="59"/>
      <c r="T31" s="53"/>
      <c r="U31" s="142"/>
    </row>
    <row r="32" spans="1:21" s="58" customFormat="1">
      <c r="A32" s="127">
        <v>28</v>
      </c>
      <c r="B32" s="127">
        <v>28</v>
      </c>
      <c r="C32" s="37"/>
      <c r="D32" s="37"/>
      <c r="E32" s="140"/>
      <c r="F32" s="149"/>
      <c r="G32" s="59"/>
      <c r="H32" s="59"/>
      <c r="I32" s="37"/>
      <c r="J32" s="37"/>
      <c r="K32" s="140"/>
      <c r="L32" s="141"/>
      <c r="M32" s="37"/>
      <c r="N32" s="141"/>
      <c r="O32" s="141"/>
      <c r="P32" s="53"/>
      <c r="Q32" s="53"/>
      <c r="R32" s="53"/>
      <c r="S32" s="59"/>
      <c r="T32" s="53"/>
      <c r="U32" s="142"/>
    </row>
    <row r="33" spans="1:21" s="58" customFormat="1">
      <c r="A33" s="127">
        <v>29</v>
      </c>
      <c r="B33" s="127">
        <v>29</v>
      </c>
      <c r="C33" s="37"/>
      <c r="D33" s="37"/>
      <c r="E33" s="140"/>
      <c r="F33" s="149"/>
      <c r="G33" s="59"/>
      <c r="H33" s="59"/>
      <c r="I33" s="37"/>
      <c r="J33" s="37"/>
      <c r="K33" s="140"/>
      <c r="L33" s="141"/>
      <c r="M33" s="37"/>
      <c r="N33" s="141"/>
      <c r="O33" s="141"/>
      <c r="P33" s="53"/>
      <c r="Q33" s="53"/>
      <c r="R33" s="53"/>
      <c r="S33" s="59"/>
      <c r="T33" s="53"/>
      <c r="U33" s="142"/>
    </row>
    <row r="34" spans="1:21" s="58" customFormat="1">
      <c r="A34" s="127">
        <v>30</v>
      </c>
      <c r="B34" s="127">
        <v>30</v>
      </c>
      <c r="C34" s="37"/>
      <c r="D34" s="37"/>
      <c r="E34" s="140"/>
      <c r="F34" s="149"/>
      <c r="G34" s="59"/>
      <c r="H34" s="59"/>
      <c r="I34" s="37"/>
      <c r="J34" s="37"/>
      <c r="K34" s="140"/>
      <c r="L34" s="141"/>
      <c r="M34" s="37"/>
      <c r="N34" s="141"/>
      <c r="O34" s="141"/>
      <c r="P34" s="53"/>
      <c r="Q34" s="53"/>
      <c r="R34" s="53"/>
      <c r="S34" s="59"/>
      <c r="T34" s="53"/>
      <c r="U34" s="142"/>
    </row>
    <row r="36" spans="1:21" s="58" customFormat="1" ht="18" customHeight="1">
      <c r="A36" s="127">
        <v>31</v>
      </c>
      <c r="B36" s="127">
        <v>31</v>
      </c>
      <c r="C36" s="37"/>
      <c r="D36" s="37"/>
      <c r="E36" s="140"/>
      <c r="F36" s="149"/>
      <c r="G36" s="59"/>
      <c r="H36" s="59"/>
      <c r="I36" s="37"/>
      <c r="J36" s="37"/>
      <c r="K36" s="140"/>
      <c r="L36" s="141"/>
      <c r="M36" s="37"/>
      <c r="N36" s="141"/>
      <c r="O36" s="141"/>
      <c r="P36" s="53"/>
      <c r="Q36" s="53"/>
      <c r="R36" s="53"/>
      <c r="S36" s="59"/>
      <c r="T36" s="53"/>
      <c r="U36" s="142"/>
    </row>
    <row r="37" spans="1:21" s="58" customFormat="1">
      <c r="A37" s="127">
        <v>32</v>
      </c>
      <c r="B37" s="127">
        <v>32</v>
      </c>
      <c r="C37" s="37"/>
      <c r="D37" s="37"/>
      <c r="E37" s="140"/>
      <c r="F37" s="149"/>
      <c r="G37" s="59"/>
      <c r="H37" s="59"/>
      <c r="I37" s="37"/>
      <c r="J37" s="37"/>
      <c r="K37" s="140"/>
      <c r="L37" s="141"/>
      <c r="M37" s="37"/>
      <c r="N37" s="141"/>
      <c r="O37" s="141"/>
      <c r="P37" s="53"/>
      <c r="Q37" s="53"/>
      <c r="R37" s="53"/>
      <c r="S37" s="59"/>
      <c r="T37" s="53"/>
      <c r="U37" s="142"/>
    </row>
    <row r="38" spans="1:21" s="58" customFormat="1">
      <c r="A38" s="127">
        <v>33</v>
      </c>
      <c r="B38" s="127">
        <v>33</v>
      </c>
      <c r="C38" s="37"/>
      <c r="D38" s="150"/>
      <c r="E38" s="140"/>
      <c r="F38" s="151"/>
      <c r="G38" s="59"/>
      <c r="H38" s="59"/>
      <c r="I38" s="150"/>
      <c r="J38" s="150"/>
      <c r="K38" s="140"/>
      <c r="L38" s="152"/>
      <c r="M38" s="153"/>
      <c r="N38" s="141"/>
      <c r="O38" s="141"/>
      <c r="P38" s="53"/>
      <c r="Q38" s="53"/>
      <c r="R38" s="53"/>
      <c r="S38" s="59"/>
      <c r="T38" s="53"/>
      <c r="U38" s="142"/>
    </row>
    <row r="39" spans="1:21" s="58" customFormat="1">
      <c r="A39" s="127">
        <v>34</v>
      </c>
      <c r="B39" s="127">
        <v>34</v>
      </c>
      <c r="C39" s="37"/>
      <c r="D39" s="150"/>
      <c r="E39" s="140"/>
      <c r="F39" s="151"/>
      <c r="G39" s="59"/>
      <c r="H39" s="59"/>
      <c r="I39" s="150"/>
      <c r="J39" s="150"/>
      <c r="K39" s="140"/>
      <c r="L39" s="152"/>
      <c r="M39" s="37"/>
      <c r="N39" s="141"/>
      <c r="O39" s="141"/>
      <c r="P39" s="53"/>
      <c r="Q39" s="53"/>
      <c r="R39" s="53"/>
      <c r="S39" s="59"/>
      <c r="T39" s="53"/>
      <c r="U39" s="142"/>
    </row>
    <row r="40" spans="1:21" s="58" customFormat="1">
      <c r="A40" s="127">
        <v>35</v>
      </c>
      <c r="B40" s="127">
        <v>35</v>
      </c>
      <c r="C40" s="37"/>
      <c r="D40" s="150"/>
      <c r="E40" s="140"/>
      <c r="F40" s="151"/>
      <c r="G40" s="59"/>
      <c r="H40" s="59"/>
      <c r="I40" s="150"/>
      <c r="J40" s="150"/>
      <c r="K40" s="140"/>
      <c r="L40" s="152"/>
      <c r="M40" s="37"/>
      <c r="N40" s="141"/>
      <c r="O40" s="141"/>
      <c r="P40" s="53"/>
      <c r="Q40" s="53"/>
      <c r="R40" s="53"/>
      <c r="S40" s="59"/>
      <c r="T40" s="53"/>
      <c r="U40" s="142"/>
    </row>
    <row r="41" spans="1:21" s="58" customFormat="1">
      <c r="A41" s="127">
        <v>36</v>
      </c>
      <c r="B41" s="127">
        <v>36</v>
      </c>
      <c r="C41" s="37"/>
      <c r="D41" s="150"/>
      <c r="E41" s="140"/>
      <c r="F41" s="151"/>
      <c r="G41" s="59"/>
      <c r="H41" s="59"/>
      <c r="I41" s="150"/>
      <c r="J41" s="150"/>
      <c r="K41" s="140"/>
      <c r="L41" s="152"/>
      <c r="M41" s="37"/>
      <c r="N41" s="141"/>
      <c r="O41" s="141"/>
      <c r="P41" s="53"/>
      <c r="Q41" s="53"/>
      <c r="R41" s="53"/>
      <c r="S41" s="59"/>
      <c r="T41" s="53"/>
      <c r="U41" s="142"/>
    </row>
    <row r="42" spans="1:21" s="58" customFormat="1">
      <c r="A42" s="127">
        <v>37</v>
      </c>
      <c r="B42" s="127">
        <v>37</v>
      </c>
      <c r="C42" s="37"/>
      <c r="D42" s="150"/>
      <c r="E42" s="140"/>
      <c r="F42" s="53"/>
      <c r="G42" s="59"/>
      <c r="H42" s="59"/>
      <c r="I42" s="150"/>
      <c r="J42" s="150"/>
      <c r="K42" s="140"/>
      <c r="L42" s="152"/>
      <c r="M42" s="37"/>
      <c r="N42" s="141"/>
      <c r="O42" s="141"/>
      <c r="P42" s="53"/>
      <c r="Q42" s="53"/>
      <c r="R42" s="53"/>
      <c r="S42" s="59"/>
      <c r="T42" s="53"/>
      <c r="U42" s="142"/>
    </row>
    <row r="43" spans="1:21" s="58" customFormat="1">
      <c r="A43" s="127">
        <v>38</v>
      </c>
      <c r="B43" s="127">
        <v>38</v>
      </c>
      <c r="C43" s="37"/>
      <c r="D43" s="150"/>
      <c r="E43" s="140"/>
      <c r="F43" s="151"/>
      <c r="G43" s="59"/>
      <c r="H43" s="59"/>
      <c r="I43" s="150"/>
      <c r="J43" s="150"/>
      <c r="K43" s="140"/>
      <c r="L43" s="152"/>
      <c r="M43" s="37"/>
      <c r="N43" s="141"/>
      <c r="O43" s="141"/>
      <c r="P43" s="53"/>
      <c r="Q43" s="53"/>
      <c r="R43" s="53"/>
      <c r="S43" s="59"/>
      <c r="T43" s="53"/>
      <c r="U43" s="142"/>
    </row>
    <row r="44" spans="1:21" s="58" customFormat="1">
      <c r="A44" s="127">
        <v>39</v>
      </c>
      <c r="B44" s="127">
        <v>39</v>
      </c>
      <c r="C44" s="37"/>
      <c r="D44" s="150"/>
      <c r="E44" s="140"/>
      <c r="F44" s="151"/>
      <c r="G44" s="59"/>
      <c r="H44" s="59"/>
      <c r="I44" s="150"/>
      <c r="J44" s="150"/>
      <c r="K44" s="140"/>
      <c r="L44" s="152"/>
      <c r="M44" s="37"/>
      <c r="N44" s="141"/>
      <c r="O44" s="141"/>
      <c r="P44" s="53"/>
      <c r="Q44" s="53"/>
      <c r="R44" s="53"/>
      <c r="S44" s="59"/>
      <c r="T44" s="53"/>
      <c r="U44" s="142"/>
    </row>
    <row r="45" spans="1:21" s="58" customFormat="1">
      <c r="A45" s="127">
        <v>40</v>
      </c>
      <c r="B45" s="127">
        <v>40</v>
      </c>
      <c r="C45" s="37"/>
      <c r="D45" s="150"/>
      <c r="E45" s="140"/>
      <c r="F45" s="149"/>
      <c r="G45" s="59"/>
      <c r="H45" s="59"/>
      <c r="I45" s="150"/>
      <c r="J45" s="150"/>
      <c r="K45" s="140"/>
      <c r="L45" s="53"/>
      <c r="M45" s="37"/>
      <c r="N45" s="141"/>
      <c r="O45" s="141"/>
      <c r="P45" s="53"/>
      <c r="Q45" s="53"/>
      <c r="R45" s="53"/>
      <c r="S45" s="59"/>
      <c r="T45" s="53"/>
      <c r="U45" s="142"/>
    </row>
    <row r="46" spans="1:21" s="58" customFormat="1">
      <c r="A46" s="127">
        <v>41</v>
      </c>
      <c r="B46" s="127">
        <v>41</v>
      </c>
      <c r="C46" s="37"/>
      <c r="D46" s="150"/>
      <c r="E46" s="140"/>
      <c r="F46" s="149"/>
      <c r="G46" s="59"/>
      <c r="H46" s="59"/>
      <c r="I46" s="150"/>
      <c r="J46" s="150"/>
      <c r="K46" s="140"/>
      <c r="L46" s="53"/>
      <c r="M46" s="37"/>
      <c r="N46" s="141"/>
      <c r="O46" s="141"/>
      <c r="P46" s="53"/>
      <c r="Q46" s="53"/>
      <c r="R46" s="53"/>
      <c r="S46" s="59"/>
      <c r="T46" s="53"/>
      <c r="U46" s="142"/>
    </row>
    <row r="47" spans="1:21" s="58" customFormat="1">
      <c r="A47" s="127">
        <v>42</v>
      </c>
      <c r="B47" s="127">
        <v>42</v>
      </c>
      <c r="C47" s="37"/>
      <c r="D47" s="150"/>
      <c r="E47" s="140"/>
      <c r="F47" s="149"/>
      <c r="G47" s="59"/>
      <c r="H47" s="59"/>
      <c r="I47" s="150"/>
      <c r="J47" s="150"/>
      <c r="K47" s="140"/>
      <c r="L47" s="53"/>
      <c r="M47" s="37"/>
      <c r="N47" s="141"/>
      <c r="O47" s="141"/>
      <c r="P47" s="53"/>
      <c r="Q47" s="53"/>
      <c r="R47" s="53"/>
      <c r="S47" s="59"/>
      <c r="T47" s="53"/>
      <c r="U47" s="142"/>
    </row>
    <row r="48" spans="1:21" s="58" customFormat="1">
      <c r="A48" s="127">
        <v>43</v>
      </c>
      <c r="B48" s="127">
        <v>43</v>
      </c>
      <c r="C48" s="37"/>
      <c r="D48" s="150"/>
      <c r="E48" s="140"/>
      <c r="F48" s="149"/>
      <c r="G48" s="59"/>
      <c r="H48" s="59"/>
      <c r="I48" s="150"/>
      <c r="J48" s="150"/>
      <c r="K48" s="140"/>
      <c r="L48" s="53"/>
      <c r="M48" s="37"/>
      <c r="N48" s="141"/>
      <c r="O48" s="141"/>
      <c r="P48" s="53"/>
      <c r="Q48" s="53"/>
      <c r="R48" s="53"/>
      <c r="S48" s="59"/>
      <c r="T48" s="53"/>
      <c r="U48" s="142"/>
    </row>
    <row r="49" spans="1:21" s="58" customFormat="1">
      <c r="A49" s="127">
        <v>44</v>
      </c>
      <c r="B49" s="127">
        <v>44</v>
      </c>
      <c r="C49" s="37"/>
      <c r="D49" s="150"/>
      <c r="E49" s="140"/>
      <c r="F49" s="149"/>
      <c r="G49" s="59"/>
      <c r="H49" s="59"/>
      <c r="I49" s="150"/>
      <c r="J49" s="150"/>
      <c r="K49" s="140"/>
      <c r="L49" s="53"/>
      <c r="M49" s="37"/>
      <c r="N49" s="141"/>
      <c r="O49" s="141"/>
      <c r="P49" s="53"/>
      <c r="Q49" s="53"/>
      <c r="R49" s="53"/>
      <c r="S49" s="59"/>
      <c r="T49" s="53"/>
      <c r="U49" s="142"/>
    </row>
    <row r="50" spans="1:21" s="58" customFormat="1">
      <c r="A50" s="127">
        <v>45</v>
      </c>
      <c r="B50" s="127">
        <v>45</v>
      </c>
      <c r="C50" s="37"/>
      <c r="D50" s="37"/>
      <c r="E50" s="140"/>
      <c r="F50" s="151"/>
      <c r="G50" s="59"/>
      <c r="H50" s="59"/>
      <c r="I50" s="37"/>
      <c r="J50" s="37"/>
      <c r="K50" s="140"/>
      <c r="L50" s="37"/>
      <c r="M50" s="37"/>
      <c r="N50" s="141"/>
      <c r="O50" s="141"/>
      <c r="P50" s="53"/>
      <c r="Q50" s="53"/>
      <c r="R50" s="53"/>
      <c r="S50" s="59"/>
      <c r="T50" s="53"/>
      <c r="U50" s="142"/>
    </row>
    <row r="51" spans="1:21" s="58" customFormat="1">
      <c r="A51" s="127">
        <v>46</v>
      </c>
      <c r="B51" s="127">
        <v>46</v>
      </c>
      <c r="C51" s="37"/>
      <c r="D51" s="37"/>
      <c r="E51" s="140"/>
      <c r="F51" s="151"/>
      <c r="G51" s="59"/>
      <c r="H51" s="59"/>
      <c r="I51" s="37"/>
      <c r="J51" s="37"/>
      <c r="K51" s="140"/>
      <c r="L51" s="141"/>
      <c r="M51" s="153"/>
      <c r="N51" s="141"/>
      <c r="O51" s="141"/>
      <c r="P51" s="53"/>
      <c r="Q51" s="53"/>
      <c r="R51" s="53"/>
      <c r="S51" s="59"/>
      <c r="T51" s="53"/>
      <c r="U51" s="142"/>
    </row>
    <row r="52" spans="1:21" s="58" customFormat="1">
      <c r="A52" s="127"/>
      <c r="B52" s="127"/>
      <c r="C52" s="37"/>
      <c r="D52" s="37"/>
      <c r="E52" s="140"/>
      <c r="F52" s="151"/>
      <c r="G52" s="59"/>
      <c r="H52" s="59"/>
      <c r="I52" s="37"/>
      <c r="J52" s="37"/>
      <c r="K52" s="140"/>
      <c r="L52" s="53"/>
      <c r="M52" s="153"/>
      <c r="N52" s="141"/>
      <c r="O52" s="141"/>
      <c r="P52" s="53"/>
      <c r="Q52" s="53"/>
      <c r="R52" s="53"/>
      <c r="S52" s="59"/>
      <c r="T52" s="53"/>
      <c r="U52" s="142"/>
    </row>
    <row r="53" spans="1:21" s="58" customFormat="1">
      <c r="A53" s="127"/>
      <c r="B53" s="127"/>
      <c r="C53" s="37"/>
      <c r="D53" s="37"/>
      <c r="E53" s="140"/>
      <c r="F53" s="151"/>
      <c r="G53" s="59"/>
      <c r="H53" s="59"/>
      <c r="I53" s="37"/>
      <c r="J53" s="37"/>
      <c r="K53" s="140"/>
      <c r="L53" s="53"/>
      <c r="M53" s="37"/>
      <c r="N53" s="141"/>
      <c r="O53" s="141"/>
      <c r="P53" s="53"/>
      <c r="Q53" s="53"/>
      <c r="R53" s="53"/>
      <c r="S53" s="59"/>
      <c r="T53" s="53"/>
      <c r="U53" s="142"/>
    </row>
    <row r="54" spans="1:21" s="58" customFormat="1">
      <c r="A54" s="127"/>
      <c r="B54" s="127"/>
      <c r="C54" s="37"/>
      <c r="D54" s="37"/>
      <c r="E54" s="140"/>
      <c r="F54" s="151"/>
      <c r="G54" s="59"/>
      <c r="H54" s="59"/>
      <c r="I54" s="37"/>
      <c r="J54" s="37"/>
      <c r="K54" s="140"/>
      <c r="L54" s="37"/>
      <c r="M54" s="37"/>
      <c r="N54" s="141"/>
      <c r="O54" s="141"/>
      <c r="P54" s="53"/>
      <c r="Q54" s="53"/>
      <c r="R54" s="53"/>
      <c r="S54" s="59"/>
      <c r="T54" s="53"/>
      <c r="U54" s="142"/>
    </row>
    <row r="55" spans="1:21" s="58" customFormat="1">
      <c r="A55" s="127"/>
      <c r="B55" s="127"/>
      <c r="C55" s="37"/>
      <c r="D55" s="37"/>
      <c r="E55" s="140"/>
      <c r="F55" s="151"/>
      <c r="G55" s="59"/>
      <c r="H55" s="59"/>
      <c r="I55" s="37"/>
      <c r="J55" s="37"/>
      <c r="K55" s="140"/>
      <c r="L55" s="141"/>
      <c r="M55" s="153"/>
      <c r="N55" s="141"/>
      <c r="O55" s="141"/>
      <c r="P55" s="53"/>
      <c r="Q55" s="53"/>
      <c r="R55" s="53"/>
      <c r="S55" s="59"/>
      <c r="T55" s="53"/>
      <c r="U55" s="142"/>
    </row>
    <row r="56" spans="1:21" ht="71.25" customHeight="1">
      <c r="A56" s="154"/>
      <c r="B56" s="154"/>
      <c r="C56" s="155"/>
      <c r="D56" s="156"/>
      <c r="E56" s="142"/>
      <c r="F56" s="157"/>
      <c r="I56" s="156"/>
      <c r="J56" s="156"/>
      <c r="K56" s="142"/>
      <c r="L56" s="115"/>
      <c r="M56" s="156"/>
      <c r="N56" s="157"/>
      <c r="O56" s="157"/>
      <c r="P56" s="69"/>
    </row>
    <row r="57" spans="1:21" ht="50.25" customHeight="1">
      <c r="A57" s="154"/>
      <c r="B57" s="154"/>
      <c r="C57" s="155"/>
      <c r="E57" s="142"/>
      <c r="F57" s="157"/>
      <c r="K57" s="142"/>
      <c r="L57" s="115"/>
      <c r="N57" s="157"/>
      <c r="O57" s="157"/>
      <c r="P57" s="70"/>
    </row>
    <row r="58" spans="1:21" ht="40.5" customHeight="1">
      <c r="A58" s="154"/>
      <c r="B58" s="154"/>
      <c r="C58" s="155"/>
      <c r="E58" s="142"/>
      <c r="F58" s="157"/>
      <c r="K58" s="142"/>
      <c r="L58" s="115"/>
      <c r="N58" s="157"/>
      <c r="O58" s="157"/>
      <c r="P58" s="70"/>
    </row>
    <row r="59" spans="1:21" ht="37.5" customHeight="1">
      <c r="A59" s="154"/>
      <c r="B59" s="154"/>
      <c r="C59" s="155"/>
      <c r="D59" s="156"/>
      <c r="E59" s="142"/>
      <c r="F59" s="157"/>
      <c r="I59" s="156"/>
      <c r="J59" s="156"/>
      <c r="K59" s="142"/>
      <c r="L59" s="115"/>
      <c r="M59" s="156"/>
      <c r="N59" s="157"/>
      <c r="O59" s="157"/>
      <c r="P59" s="70"/>
    </row>
    <row r="60" spans="1:21" s="58" customFormat="1" ht="99" customHeight="1">
      <c r="A60" s="159"/>
      <c r="B60" s="159"/>
      <c r="C60" s="155"/>
      <c r="D60" s="115"/>
      <c r="E60" s="142"/>
      <c r="F60" s="157"/>
      <c r="G60" s="13"/>
      <c r="H60" s="13"/>
      <c r="I60" s="115"/>
      <c r="J60" s="115"/>
      <c r="K60" s="142"/>
      <c r="L60" s="160"/>
      <c r="M60" s="115"/>
      <c r="N60" s="157"/>
      <c r="O60" s="157"/>
      <c r="P60" s="53"/>
      <c r="S60" s="13"/>
      <c r="U60" s="142"/>
    </row>
    <row r="61" spans="1:21" s="58" customFormat="1" ht="37.5" customHeight="1">
      <c r="A61" s="159"/>
      <c r="B61" s="159"/>
      <c r="C61" s="155"/>
      <c r="D61" s="115"/>
      <c r="E61" s="142"/>
      <c r="F61" s="157"/>
      <c r="G61" s="13"/>
      <c r="H61" s="13"/>
      <c r="I61" s="115"/>
      <c r="J61" s="115"/>
      <c r="K61" s="142"/>
      <c r="L61" s="160"/>
      <c r="M61" s="115"/>
      <c r="N61" s="157"/>
      <c r="O61" s="157"/>
      <c r="P61" s="53"/>
      <c r="S61" s="13"/>
      <c r="U61" s="142"/>
    </row>
    <row r="62" spans="1:21" s="58" customFormat="1" ht="37.5" customHeight="1">
      <c r="A62" s="159"/>
      <c r="B62" s="159"/>
      <c r="C62" s="155"/>
      <c r="D62" s="115"/>
      <c r="E62" s="142"/>
      <c r="F62" s="157"/>
      <c r="G62" s="13"/>
      <c r="H62" s="13"/>
      <c r="I62" s="115"/>
      <c r="J62" s="115"/>
      <c r="K62" s="142"/>
      <c r="L62" s="160"/>
      <c r="M62" s="115"/>
      <c r="N62" s="157"/>
      <c r="O62" s="157"/>
      <c r="P62" s="53"/>
      <c r="S62" s="13"/>
      <c r="U62" s="142"/>
    </row>
    <row r="63" spans="1:21" s="58" customFormat="1" ht="41.25" customHeight="1">
      <c r="A63" s="159"/>
      <c r="B63" s="159"/>
      <c r="C63" s="155"/>
      <c r="D63" s="115"/>
      <c r="E63" s="142"/>
      <c r="F63" s="157"/>
      <c r="G63" s="13"/>
      <c r="H63" s="13"/>
      <c r="I63" s="115"/>
      <c r="J63" s="115"/>
      <c r="K63" s="142"/>
      <c r="L63" s="160"/>
      <c r="M63" s="115"/>
      <c r="N63" s="157"/>
      <c r="O63" s="157"/>
      <c r="P63" s="53"/>
      <c r="S63" s="13"/>
      <c r="U63" s="142"/>
    </row>
    <row r="64" spans="1:21" s="58" customFormat="1">
      <c r="A64" s="159"/>
      <c r="B64" s="159"/>
      <c r="C64" s="155"/>
      <c r="D64" s="115"/>
      <c r="E64" s="142"/>
      <c r="F64" s="157"/>
      <c r="G64" s="13"/>
      <c r="H64" s="13"/>
      <c r="I64" s="115"/>
      <c r="J64" s="115"/>
      <c r="K64" s="142"/>
      <c r="L64" s="160"/>
      <c r="M64" s="115"/>
      <c r="N64" s="157"/>
      <c r="O64" s="157"/>
      <c r="P64" s="53"/>
      <c r="S64" s="13"/>
      <c r="U64" s="142"/>
    </row>
    <row r="65" spans="1:21" s="58" customFormat="1" ht="37.5" customHeight="1">
      <c r="A65" s="159"/>
      <c r="B65" s="159"/>
      <c r="C65" s="155"/>
      <c r="D65" s="115"/>
      <c r="E65" s="142"/>
      <c r="F65" s="157"/>
      <c r="G65" s="13"/>
      <c r="H65" s="13"/>
      <c r="I65" s="115"/>
      <c r="J65" s="115"/>
      <c r="K65" s="142"/>
      <c r="L65" s="160"/>
      <c r="M65" s="115"/>
      <c r="N65" s="157"/>
      <c r="O65" s="157"/>
      <c r="P65" s="53"/>
      <c r="S65" s="13"/>
      <c r="U65" s="142"/>
    </row>
    <row r="66" spans="1:21" s="58" customFormat="1" ht="44.25" customHeight="1">
      <c r="A66" s="159"/>
      <c r="B66" s="159"/>
      <c r="C66" s="155"/>
      <c r="D66" s="115"/>
      <c r="E66" s="142"/>
      <c r="F66" s="157"/>
      <c r="G66" s="13"/>
      <c r="H66" s="13"/>
      <c r="I66" s="115"/>
      <c r="J66" s="115"/>
      <c r="K66" s="142"/>
      <c r="L66" s="142"/>
      <c r="M66" s="115"/>
      <c r="N66" s="157"/>
      <c r="O66" s="157"/>
      <c r="P66" s="53"/>
      <c r="S66" s="13"/>
      <c r="U66" s="142"/>
    </row>
    <row r="67" spans="1:21" s="58" customFormat="1" ht="60.75" customHeight="1">
      <c r="A67" s="159"/>
      <c r="B67" s="159"/>
      <c r="C67" s="155"/>
      <c r="D67" s="115"/>
      <c r="E67" s="142"/>
      <c r="F67" s="157"/>
      <c r="G67" s="13"/>
      <c r="H67" s="13"/>
      <c r="I67" s="115"/>
      <c r="J67" s="115"/>
      <c r="K67" s="142"/>
      <c r="L67" s="160"/>
      <c r="M67" s="115"/>
      <c r="N67" s="157"/>
      <c r="O67" s="157"/>
      <c r="P67" s="53"/>
      <c r="S67" s="13"/>
      <c r="U67" s="142"/>
    </row>
    <row r="68" spans="1:21" s="58" customFormat="1" ht="97.5" customHeight="1">
      <c r="A68" s="159"/>
      <c r="B68" s="159"/>
      <c r="C68" s="155"/>
      <c r="D68" s="115"/>
      <c r="E68" s="142"/>
      <c r="F68" s="157"/>
      <c r="G68" s="13"/>
      <c r="H68" s="13"/>
      <c r="I68" s="115"/>
      <c r="J68" s="115"/>
      <c r="K68" s="142"/>
      <c r="L68" s="160"/>
      <c r="M68" s="115"/>
      <c r="N68" s="157"/>
      <c r="O68" s="157"/>
      <c r="P68" s="53"/>
      <c r="S68" s="13"/>
      <c r="U68" s="142"/>
    </row>
    <row r="69" spans="1:21" s="58" customFormat="1" ht="81" customHeight="1">
      <c r="A69" s="159"/>
      <c r="B69" s="159"/>
      <c r="C69" s="155"/>
      <c r="D69" s="115"/>
      <c r="E69" s="142"/>
      <c r="F69" s="157"/>
      <c r="G69" s="13"/>
      <c r="H69" s="13"/>
      <c r="I69" s="115"/>
      <c r="J69" s="115"/>
      <c r="K69" s="142"/>
      <c r="L69" s="160"/>
      <c r="M69" s="115"/>
      <c r="N69" s="157"/>
      <c r="O69" s="157"/>
      <c r="P69" s="53"/>
      <c r="S69" s="13"/>
      <c r="U69" s="142"/>
    </row>
    <row r="70" spans="1:21" s="58" customFormat="1" ht="58.5" customHeight="1">
      <c r="A70" s="159"/>
      <c r="B70" s="159"/>
      <c r="C70" s="155"/>
      <c r="D70" s="115"/>
      <c r="E70" s="142"/>
      <c r="F70" s="157"/>
      <c r="G70" s="13"/>
      <c r="H70" s="13"/>
      <c r="I70" s="115"/>
      <c r="J70" s="115"/>
      <c r="K70" s="142"/>
      <c r="L70" s="160"/>
      <c r="M70" s="115"/>
      <c r="N70" s="157"/>
      <c r="O70" s="157"/>
      <c r="P70" s="53"/>
      <c r="S70" s="13"/>
      <c r="U70" s="142"/>
    </row>
    <row r="71" spans="1:21" s="58" customFormat="1" ht="72" customHeight="1">
      <c r="A71" s="159"/>
      <c r="B71" s="159"/>
      <c r="C71" s="155"/>
      <c r="D71" s="115"/>
      <c r="E71" s="142"/>
      <c r="F71" s="157"/>
      <c r="G71" s="13"/>
      <c r="H71" s="13"/>
      <c r="I71" s="115"/>
      <c r="J71" s="115"/>
      <c r="K71" s="142"/>
      <c r="L71" s="160"/>
      <c r="M71" s="115"/>
      <c r="N71" s="157"/>
      <c r="O71" s="157"/>
      <c r="P71" s="53"/>
      <c r="S71" s="13"/>
      <c r="U71" s="142"/>
    </row>
    <row r="72" spans="1:21" s="58" customFormat="1" ht="43.5" customHeight="1">
      <c r="A72" s="159"/>
      <c r="B72" s="159"/>
      <c r="C72" s="155"/>
      <c r="D72" s="115"/>
      <c r="E72" s="142"/>
      <c r="F72" s="157"/>
      <c r="G72" s="13"/>
      <c r="H72" s="13"/>
      <c r="I72" s="115"/>
      <c r="J72" s="115"/>
      <c r="K72" s="142"/>
      <c r="L72" s="160"/>
      <c r="M72" s="115"/>
      <c r="N72" s="157"/>
      <c r="O72" s="157"/>
      <c r="P72" s="53"/>
      <c r="S72" s="13"/>
      <c r="U72" s="142"/>
    </row>
    <row r="73" spans="1:21" s="58" customFormat="1" ht="56.25" customHeight="1">
      <c r="A73" s="159"/>
      <c r="B73" s="159"/>
      <c r="C73" s="155"/>
      <c r="D73" s="156"/>
      <c r="E73" s="159"/>
      <c r="F73" s="157"/>
      <c r="G73" s="13"/>
      <c r="H73" s="13"/>
      <c r="I73" s="156"/>
      <c r="J73" s="156"/>
      <c r="K73" s="159"/>
      <c r="L73" s="156"/>
      <c r="M73" s="156"/>
      <c r="N73" s="157"/>
      <c r="O73" s="157"/>
      <c r="P73" s="53"/>
      <c r="S73" s="13"/>
      <c r="U73" s="142"/>
    </row>
    <row r="74" spans="1:21" s="58" customFormat="1" ht="28.5" customHeight="1">
      <c r="A74" s="159"/>
      <c r="B74" s="159"/>
      <c r="C74" s="155"/>
      <c r="D74" s="115"/>
      <c r="E74" s="142"/>
      <c r="F74" s="157"/>
      <c r="G74" s="13"/>
      <c r="H74" s="13"/>
      <c r="I74" s="115"/>
      <c r="J74" s="115"/>
      <c r="K74" s="142"/>
      <c r="L74" s="160"/>
      <c r="M74" s="115"/>
      <c r="N74" s="157"/>
      <c r="O74" s="157"/>
      <c r="P74" s="53"/>
      <c r="S74" s="13"/>
      <c r="U74" s="142"/>
    </row>
    <row r="75" spans="1:21" s="58" customFormat="1" ht="47.25" customHeight="1">
      <c r="A75" s="159"/>
      <c r="B75" s="159"/>
      <c r="C75" s="155"/>
      <c r="D75" s="115"/>
      <c r="E75" s="142"/>
      <c r="F75" s="157"/>
      <c r="G75" s="13"/>
      <c r="H75" s="13"/>
      <c r="I75" s="115"/>
      <c r="J75" s="115"/>
      <c r="K75" s="142"/>
      <c r="L75" s="160"/>
      <c r="M75" s="115"/>
      <c r="N75" s="157"/>
      <c r="O75" s="157"/>
      <c r="P75" s="53"/>
      <c r="S75" s="13"/>
      <c r="U75" s="142"/>
    </row>
    <row r="76" spans="1:21" s="58" customFormat="1" ht="29.25" customHeight="1">
      <c r="A76" s="159"/>
      <c r="B76" s="159"/>
      <c r="C76" s="155"/>
      <c r="D76" s="115"/>
      <c r="E76" s="142"/>
      <c r="F76" s="157"/>
      <c r="G76" s="13"/>
      <c r="H76" s="13"/>
      <c r="I76" s="115"/>
      <c r="J76" s="115"/>
      <c r="K76" s="142"/>
      <c r="L76" s="160"/>
      <c r="M76" s="115"/>
      <c r="N76" s="157"/>
      <c r="O76" s="157"/>
      <c r="P76" s="53"/>
      <c r="S76" s="13"/>
      <c r="U76" s="142"/>
    </row>
    <row r="77" spans="1:21" s="58" customFormat="1" ht="60.75" customHeight="1">
      <c r="A77" s="159"/>
      <c r="B77" s="159"/>
      <c r="C77" s="155"/>
      <c r="D77" s="156"/>
      <c r="E77" s="142"/>
      <c r="F77" s="157"/>
      <c r="G77" s="13"/>
      <c r="H77" s="13"/>
      <c r="I77" s="156"/>
      <c r="J77" s="156"/>
      <c r="K77" s="142"/>
      <c r="L77" s="160"/>
      <c r="M77" s="115"/>
      <c r="N77" s="157"/>
      <c r="O77" s="157"/>
      <c r="P77" s="53"/>
      <c r="S77" s="13"/>
      <c r="U77" s="142"/>
    </row>
    <row r="78" spans="1:21" s="58" customFormat="1" ht="60" customHeight="1">
      <c r="A78" s="159"/>
      <c r="B78" s="159"/>
      <c r="C78" s="155"/>
      <c r="D78" s="115"/>
      <c r="E78" s="142"/>
      <c r="F78" s="157"/>
      <c r="G78" s="13"/>
      <c r="H78" s="13"/>
      <c r="I78" s="115"/>
      <c r="J78" s="115"/>
      <c r="K78" s="142"/>
      <c r="L78" s="160"/>
      <c r="M78" s="115"/>
      <c r="N78" s="157"/>
      <c r="O78" s="157"/>
      <c r="P78" s="53"/>
      <c r="S78" s="13"/>
      <c r="U78" s="142"/>
    </row>
    <row r="79" spans="1:21" s="58" customFormat="1" ht="36" customHeight="1">
      <c r="A79" s="159"/>
      <c r="B79" s="159"/>
      <c r="C79" s="155"/>
      <c r="D79" s="115"/>
      <c r="E79" s="142"/>
      <c r="F79" s="157"/>
      <c r="G79" s="13"/>
      <c r="H79" s="13"/>
      <c r="I79" s="115"/>
      <c r="J79" s="115"/>
      <c r="K79" s="142"/>
      <c r="L79" s="160"/>
      <c r="M79" s="115"/>
      <c r="N79" s="157"/>
      <c r="O79" s="157"/>
      <c r="P79" s="53"/>
      <c r="S79" s="13"/>
      <c r="U79" s="142"/>
    </row>
    <row r="80" spans="1:21" s="58" customFormat="1" ht="31.5" customHeight="1">
      <c r="A80" s="159"/>
      <c r="B80" s="159"/>
      <c r="C80" s="155"/>
      <c r="D80" s="115"/>
      <c r="E80" s="142"/>
      <c r="F80" s="157"/>
      <c r="G80" s="13"/>
      <c r="H80" s="13"/>
      <c r="I80" s="115"/>
      <c r="J80" s="115"/>
      <c r="K80" s="142"/>
      <c r="L80" s="160"/>
      <c r="M80" s="115"/>
      <c r="N80" s="157"/>
      <c r="O80" s="157"/>
      <c r="P80" s="53"/>
      <c r="S80" s="13"/>
      <c r="U80" s="142"/>
    </row>
    <row r="81" spans="1:21" s="58" customFormat="1" ht="41.25" customHeight="1">
      <c r="A81" s="159"/>
      <c r="B81" s="159"/>
      <c r="C81" s="155"/>
      <c r="D81" s="156"/>
      <c r="E81" s="159"/>
      <c r="F81" s="157"/>
      <c r="G81" s="13"/>
      <c r="H81" s="13"/>
      <c r="I81" s="156"/>
      <c r="J81" s="156"/>
      <c r="K81" s="159"/>
      <c r="L81" s="156"/>
      <c r="M81" s="156"/>
      <c r="N81" s="157"/>
      <c r="O81" s="157"/>
      <c r="P81" s="53"/>
      <c r="S81" s="13"/>
      <c r="U81" s="142"/>
    </row>
    <row r="82" spans="1:21" s="58" customFormat="1" ht="31.5" customHeight="1">
      <c r="A82" s="159"/>
      <c r="B82" s="159"/>
      <c r="C82" s="155"/>
      <c r="D82" s="115"/>
      <c r="E82" s="142"/>
      <c r="F82" s="157"/>
      <c r="G82" s="13"/>
      <c r="H82" s="13"/>
      <c r="I82" s="115"/>
      <c r="J82" s="115"/>
      <c r="K82" s="142"/>
      <c r="L82" s="160"/>
      <c r="M82" s="115"/>
      <c r="N82" s="157"/>
      <c r="O82" s="157"/>
      <c r="P82" s="53"/>
      <c r="S82" s="13"/>
      <c r="U82" s="142"/>
    </row>
    <row r="83" spans="1:21" s="58" customFormat="1" ht="42" customHeight="1">
      <c r="A83" s="159"/>
      <c r="B83" s="159"/>
      <c r="C83" s="155"/>
      <c r="D83" s="115"/>
      <c r="E83" s="142"/>
      <c r="F83" s="157"/>
      <c r="G83" s="13"/>
      <c r="H83" s="13"/>
      <c r="I83" s="115"/>
      <c r="J83" s="115"/>
      <c r="K83" s="142"/>
      <c r="L83" s="160"/>
      <c r="M83" s="115"/>
      <c r="N83" s="157"/>
      <c r="O83" s="157"/>
      <c r="P83" s="53"/>
      <c r="S83" s="13"/>
      <c r="U83" s="142"/>
    </row>
    <row r="84" spans="1:21" s="58" customFormat="1" ht="43.5" customHeight="1">
      <c r="A84" s="159"/>
      <c r="B84" s="159"/>
      <c r="C84" s="155"/>
      <c r="D84" s="156"/>
      <c r="E84" s="159"/>
      <c r="F84" s="157"/>
      <c r="G84" s="13"/>
      <c r="H84" s="13"/>
      <c r="I84" s="156"/>
      <c r="J84" s="156"/>
      <c r="K84" s="159"/>
      <c r="L84" s="156"/>
      <c r="M84" s="156"/>
      <c r="N84" s="157"/>
      <c r="O84" s="157"/>
      <c r="P84" s="53"/>
      <c r="S84" s="13"/>
      <c r="U84" s="142"/>
    </row>
    <row r="85" spans="1:21" s="58" customFormat="1" ht="82.5" customHeight="1">
      <c r="A85" s="159"/>
      <c r="B85" s="159"/>
      <c r="C85" s="155"/>
      <c r="D85" s="115"/>
      <c r="E85" s="142"/>
      <c r="F85" s="157"/>
      <c r="G85" s="13"/>
      <c r="H85" s="13"/>
      <c r="I85" s="115"/>
      <c r="J85" s="115"/>
      <c r="K85" s="142"/>
      <c r="L85" s="160"/>
      <c r="M85" s="115"/>
      <c r="N85" s="157"/>
      <c r="O85" s="157"/>
      <c r="P85" s="53"/>
      <c r="S85" s="13"/>
      <c r="U85" s="142"/>
    </row>
    <row r="86" spans="1:21" s="58" customFormat="1" ht="35.25" customHeight="1">
      <c r="A86" s="159"/>
      <c r="B86" s="159"/>
      <c r="C86" s="155"/>
      <c r="D86" s="115"/>
      <c r="E86" s="142"/>
      <c r="F86" s="157"/>
      <c r="G86" s="13"/>
      <c r="H86" s="13"/>
      <c r="I86" s="115"/>
      <c r="J86" s="115"/>
      <c r="K86" s="142"/>
      <c r="L86" s="160"/>
      <c r="M86" s="115"/>
      <c r="N86" s="157"/>
      <c r="O86" s="157"/>
      <c r="P86" s="53"/>
      <c r="S86" s="13"/>
      <c r="U86" s="142"/>
    </row>
    <row r="87" spans="1:21" s="58" customFormat="1" ht="34.5" customHeight="1">
      <c r="A87" s="159"/>
      <c r="B87" s="159"/>
      <c r="C87" s="155"/>
      <c r="D87" s="115"/>
      <c r="E87" s="142"/>
      <c r="F87" s="157"/>
      <c r="G87" s="13"/>
      <c r="H87" s="13"/>
      <c r="I87" s="115"/>
      <c r="J87" s="115"/>
      <c r="K87" s="142"/>
      <c r="L87" s="160"/>
      <c r="M87" s="115"/>
      <c r="N87" s="157"/>
      <c r="O87" s="157"/>
      <c r="P87" s="53"/>
      <c r="S87" s="13"/>
      <c r="U87" s="142"/>
    </row>
    <row r="88" spans="1:21" s="58" customFormat="1" ht="35.25" customHeight="1">
      <c r="A88" s="159"/>
      <c r="B88" s="159"/>
      <c r="C88" s="155"/>
      <c r="D88" s="115"/>
      <c r="E88" s="142"/>
      <c r="F88" s="157"/>
      <c r="G88" s="13"/>
      <c r="H88" s="13"/>
      <c r="I88" s="115"/>
      <c r="J88" s="115"/>
      <c r="K88" s="142"/>
      <c r="L88" s="160"/>
      <c r="M88" s="115"/>
      <c r="N88" s="157"/>
      <c r="O88" s="157"/>
      <c r="P88" s="53"/>
      <c r="S88" s="13"/>
      <c r="U88" s="142"/>
    </row>
    <row r="89" spans="1:21" s="58" customFormat="1" ht="30" customHeight="1">
      <c r="A89" s="159"/>
      <c r="B89" s="159"/>
      <c r="C89" s="155"/>
      <c r="D89" s="115"/>
      <c r="E89" s="142"/>
      <c r="F89" s="161"/>
      <c r="G89" s="13"/>
      <c r="H89" s="13"/>
      <c r="I89" s="115"/>
      <c r="J89" s="115"/>
      <c r="K89" s="142"/>
      <c r="L89" s="160"/>
      <c r="M89" s="115"/>
      <c r="N89" s="161"/>
      <c r="O89" s="161"/>
      <c r="P89" s="53"/>
      <c r="S89" s="13"/>
      <c r="U89" s="142"/>
    </row>
    <row r="90" spans="1:21" s="58" customFormat="1" ht="43.5" customHeight="1">
      <c r="A90" s="159"/>
      <c r="B90" s="159"/>
      <c r="C90" s="155"/>
      <c r="D90" s="115"/>
      <c r="E90" s="142"/>
      <c r="F90" s="162"/>
      <c r="G90" s="13"/>
      <c r="H90" s="13"/>
      <c r="I90" s="115"/>
      <c r="J90" s="115"/>
      <c r="K90" s="142"/>
      <c r="L90" s="160"/>
      <c r="M90" s="115"/>
      <c r="N90" s="163"/>
      <c r="O90" s="163"/>
      <c r="P90" s="53"/>
      <c r="S90" s="13"/>
      <c r="U90" s="142"/>
    </row>
    <row r="91" spans="1:21" s="58" customFormat="1" ht="68.25" customHeight="1">
      <c r="A91" s="159"/>
      <c r="B91" s="159"/>
      <c r="C91" s="155"/>
      <c r="D91" s="155"/>
      <c r="E91" s="142"/>
      <c r="F91" s="162"/>
      <c r="G91" s="13"/>
      <c r="H91" s="13"/>
      <c r="I91" s="155"/>
      <c r="J91" s="155"/>
      <c r="K91" s="142"/>
      <c r="L91" s="160"/>
      <c r="M91" s="115"/>
      <c r="N91" s="163"/>
      <c r="O91" s="163"/>
      <c r="P91" s="53"/>
      <c r="S91" s="13"/>
      <c r="U91" s="142"/>
    </row>
    <row r="92" spans="1:21" s="58" customFormat="1" ht="33.75" customHeight="1">
      <c r="A92" s="159"/>
      <c r="B92" s="159"/>
      <c r="C92" s="155"/>
      <c r="D92" s="155"/>
      <c r="E92" s="142"/>
      <c r="F92" s="157"/>
      <c r="G92" s="13"/>
      <c r="H92" s="13"/>
      <c r="I92" s="155"/>
      <c r="J92" s="155"/>
      <c r="K92" s="142"/>
      <c r="L92" s="160"/>
      <c r="M92" s="115"/>
      <c r="N92" s="157"/>
      <c r="O92" s="157"/>
      <c r="P92" s="53"/>
      <c r="S92" s="13"/>
      <c r="U92" s="142"/>
    </row>
    <row r="93" spans="1:21" s="58" customFormat="1" ht="64.5" customHeight="1">
      <c r="A93" s="159"/>
      <c r="B93" s="159"/>
      <c r="C93" s="155"/>
      <c r="D93" s="155"/>
      <c r="E93" s="142"/>
      <c r="F93" s="157"/>
      <c r="G93" s="13"/>
      <c r="H93" s="13"/>
      <c r="I93" s="155"/>
      <c r="J93" s="155"/>
      <c r="K93" s="142"/>
      <c r="L93" s="160"/>
      <c r="M93" s="115"/>
      <c r="N93" s="157"/>
      <c r="O93" s="157"/>
      <c r="P93" s="53"/>
      <c r="S93" s="13"/>
      <c r="U93" s="142"/>
    </row>
    <row r="94" spans="1:21" s="142" customFormat="1">
      <c r="A94" s="115"/>
      <c r="B94" s="115"/>
      <c r="C94" s="115"/>
      <c r="D94" s="155"/>
      <c r="G94" s="13"/>
      <c r="H94" s="13"/>
      <c r="I94" s="155"/>
      <c r="J94" s="155"/>
      <c r="L94" s="160"/>
      <c r="M94" s="115"/>
      <c r="N94" s="158"/>
      <c r="O94" s="158"/>
      <c r="S94" s="13"/>
    </row>
    <row r="95" spans="1:21" s="142" customFormat="1">
      <c r="A95" s="115"/>
      <c r="B95" s="115"/>
      <c r="C95" s="115"/>
      <c r="D95" s="155"/>
      <c r="G95" s="13"/>
      <c r="H95" s="13"/>
      <c r="I95" s="155"/>
      <c r="J95" s="155"/>
      <c r="L95" s="160"/>
      <c r="M95" s="115"/>
      <c r="N95" s="158"/>
      <c r="O95" s="158"/>
      <c r="S95" s="13"/>
    </row>
    <row r="96" spans="1:21" s="142" customFormat="1">
      <c r="A96" s="115"/>
      <c r="B96" s="115"/>
      <c r="C96" s="115"/>
      <c r="D96" s="155"/>
      <c r="G96" s="13"/>
      <c r="H96" s="13"/>
      <c r="I96" s="155"/>
      <c r="J96" s="155"/>
      <c r="L96" s="160"/>
      <c r="M96" s="115"/>
      <c r="N96" s="158"/>
      <c r="O96" s="158"/>
      <c r="S96" s="13"/>
    </row>
    <row r="97" spans="1:20" s="142" customFormat="1">
      <c r="A97" s="115"/>
      <c r="B97" s="115"/>
      <c r="C97" s="115"/>
      <c r="D97" s="155"/>
      <c r="G97" s="13"/>
      <c r="H97" s="13"/>
      <c r="I97" s="155"/>
      <c r="J97" s="155"/>
      <c r="L97" s="160"/>
      <c r="M97" s="115"/>
      <c r="N97" s="158"/>
      <c r="O97" s="158"/>
      <c r="S97" s="13"/>
    </row>
    <row r="98" spans="1:20" s="142" customFormat="1">
      <c r="A98" s="115"/>
      <c r="B98" s="115"/>
      <c r="C98" s="115"/>
      <c r="D98" s="115"/>
      <c r="G98" s="13"/>
      <c r="H98" s="13"/>
      <c r="I98" s="115"/>
      <c r="J98" s="115"/>
      <c r="L98" s="160"/>
      <c r="M98" s="115"/>
      <c r="N98" s="158"/>
      <c r="O98" s="158"/>
      <c r="S98" s="13"/>
    </row>
    <row r="99" spans="1:20" s="142" customFormat="1">
      <c r="A99" s="115"/>
      <c r="B99" s="115"/>
      <c r="C99" s="115"/>
      <c r="D99" s="115"/>
      <c r="G99" s="13"/>
      <c r="H99" s="13"/>
      <c r="I99" s="115"/>
      <c r="J99" s="115"/>
      <c r="L99" s="160"/>
      <c r="M99" s="115"/>
      <c r="N99" s="158"/>
      <c r="O99" s="158"/>
      <c r="S99" s="13"/>
    </row>
    <row r="100" spans="1:20" s="142" customFormat="1">
      <c r="A100" s="115"/>
      <c r="B100" s="115"/>
      <c r="C100" s="115"/>
      <c r="D100" s="115"/>
      <c r="G100" s="13"/>
      <c r="H100" s="13"/>
      <c r="I100" s="115"/>
      <c r="J100" s="115"/>
      <c r="L100" s="160"/>
      <c r="M100" s="115"/>
      <c r="N100" s="158"/>
      <c r="O100" s="158"/>
      <c r="S100" s="13"/>
    </row>
    <row r="101" spans="1:20" s="142" customFormat="1">
      <c r="A101" s="115"/>
      <c r="B101" s="115"/>
      <c r="C101" s="115"/>
      <c r="D101" s="115"/>
      <c r="G101" s="13"/>
      <c r="H101" s="13"/>
      <c r="I101" s="115"/>
      <c r="J101" s="115"/>
      <c r="L101" s="160"/>
      <c r="M101" s="115"/>
      <c r="N101" s="158"/>
      <c r="O101" s="158"/>
      <c r="S101" s="13"/>
    </row>
    <row r="102" spans="1:20" s="142" customFormat="1">
      <c r="A102" s="115"/>
      <c r="B102" s="115"/>
      <c r="C102" s="115"/>
      <c r="D102" s="115"/>
      <c r="G102" s="13"/>
      <c r="H102" s="13"/>
      <c r="I102" s="115"/>
      <c r="J102" s="115"/>
      <c r="L102" s="160"/>
      <c r="M102" s="115"/>
      <c r="N102" s="158"/>
      <c r="O102" s="158"/>
      <c r="S102" s="13"/>
    </row>
    <row r="103" spans="1:20" s="116" customFormat="1">
      <c r="A103" s="115"/>
      <c r="B103" s="115"/>
      <c r="C103" s="115"/>
      <c r="D103" s="115"/>
      <c r="E103" s="142"/>
      <c r="F103" s="142"/>
      <c r="G103" s="13"/>
      <c r="H103" s="13"/>
      <c r="I103" s="115"/>
      <c r="J103" s="115"/>
      <c r="K103" s="142"/>
      <c r="L103" s="160"/>
      <c r="M103" s="115"/>
      <c r="N103" s="158"/>
      <c r="O103" s="158"/>
      <c r="Q103" s="131"/>
      <c r="R103" s="13"/>
      <c r="S103" s="13"/>
      <c r="T103" s="131"/>
    </row>
    <row r="104" spans="1:20" s="116" customFormat="1">
      <c r="A104" s="115"/>
      <c r="B104" s="115"/>
      <c r="C104" s="115"/>
      <c r="D104" s="115"/>
      <c r="E104" s="142"/>
      <c r="F104" s="142"/>
      <c r="G104" s="13"/>
      <c r="H104" s="13"/>
      <c r="I104" s="115"/>
      <c r="J104" s="115"/>
      <c r="K104" s="142"/>
      <c r="L104" s="160"/>
      <c r="M104" s="115"/>
      <c r="N104" s="158"/>
      <c r="O104" s="158"/>
      <c r="Q104" s="131"/>
      <c r="R104" s="13"/>
      <c r="S104" s="13"/>
      <c r="T104" s="131"/>
    </row>
    <row r="105" spans="1:20" s="116" customFormat="1">
      <c r="A105" s="115"/>
      <c r="B105" s="115"/>
      <c r="C105" s="115"/>
      <c r="D105" s="115"/>
      <c r="E105" s="142"/>
      <c r="F105" s="142"/>
      <c r="G105" s="13"/>
      <c r="H105" s="13"/>
      <c r="I105" s="115"/>
      <c r="J105" s="115"/>
      <c r="K105" s="142"/>
      <c r="L105" s="160"/>
      <c r="M105" s="115"/>
      <c r="N105" s="158"/>
      <c r="O105" s="158"/>
      <c r="Q105" s="131"/>
      <c r="R105" s="13"/>
      <c r="S105" s="13"/>
      <c r="T105" s="131"/>
    </row>
    <row r="106" spans="1:20" s="116" customFormat="1">
      <c r="A106" s="115"/>
      <c r="B106" s="115"/>
      <c r="C106" s="115"/>
      <c r="D106" s="115"/>
      <c r="E106" s="142"/>
      <c r="F106" s="142"/>
      <c r="G106" s="13"/>
      <c r="H106" s="13"/>
      <c r="I106" s="115"/>
      <c r="J106" s="115"/>
      <c r="K106" s="142"/>
      <c r="L106" s="160"/>
      <c r="M106" s="115"/>
      <c r="N106" s="158"/>
      <c r="O106" s="158"/>
      <c r="Q106" s="131"/>
      <c r="R106" s="13"/>
      <c r="S106" s="13"/>
      <c r="T106" s="131"/>
    </row>
    <row r="107" spans="1:20" s="116" customFormat="1">
      <c r="A107" s="115"/>
      <c r="B107" s="115"/>
      <c r="C107" s="115"/>
      <c r="D107" s="115"/>
      <c r="E107" s="142"/>
      <c r="F107" s="142"/>
      <c r="G107" s="13"/>
      <c r="H107" s="13"/>
      <c r="I107" s="115"/>
      <c r="J107" s="115"/>
      <c r="K107" s="142"/>
      <c r="L107" s="160"/>
      <c r="M107" s="115"/>
      <c r="N107" s="158"/>
      <c r="O107" s="158"/>
      <c r="Q107" s="131"/>
      <c r="R107" s="13"/>
      <c r="S107" s="13"/>
      <c r="T107" s="131"/>
    </row>
    <row r="108" spans="1:20" s="116" customFormat="1">
      <c r="A108" s="115"/>
      <c r="B108" s="115"/>
      <c r="C108" s="115"/>
      <c r="D108" s="115"/>
      <c r="E108" s="142"/>
      <c r="F108" s="142"/>
      <c r="G108" s="13"/>
      <c r="H108" s="13"/>
      <c r="I108" s="115"/>
      <c r="J108" s="115"/>
      <c r="K108" s="142"/>
      <c r="L108" s="160"/>
      <c r="M108" s="115"/>
      <c r="N108" s="158"/>
      <c r="O108" s="158"/>
      <c r="Q108" s="131"/>
      <c r="R108" s="13"/>
      <c r="S108" s="13"/>
      <c r="T108" s="131"/>
    </row>
    <row r="109" spans="1:20" s="116" customFormat="1">
      <c r="A109" s="115"/>
      <c r="B109" s="115"/>
      <c r="C109" s="115"/>
      <c r="D109" s="115"/>
      <c r="E109" s="142"/>
      <c r="F109" s="164"/>
      <c r="G109" s="13"/>
      <c r="H109" s="13"/>
      <c r="I109" s="115"/>
      <c r="J109" s="115"/>
      <c r="K109" s="142"/>
      <c r="L109" s="160"/>
      <c r="M109" s="115"/>
      <c r="N109" s="158"/>
      <c r="O109" s="158"/>
      <c r="Q109" s="131"/>
      <c r="R109" s="13"/>
      <c r="S109" s="13"/>
      <c r="T109" s="131"/>
    </row>
    <row r="110" spans="1:20" s="116" customFormat="1">
      <c r="A110" s="115"/>
      <c r="B110" s="115"/>
      <c r="C110" s="115"/>
      <c r="D110" s="115"/>
      <c r="E110" s="142"/>
      <c r="F110" s="142"/>
      <c r="G110" s="13"/>
      <c r="H110" s="13"/>
      <c r="I110" s="115"/>
      <c r="J110" s="115"/>
      <c r="K110" s="142"/>
      <c r="L110" s="160"/>
      <c r="M110" s="115"/>
      <c r="N110" s="158"/>
      <c r="O110" s="158"/>
      <c r="Q110" s="131"/>
      <c r="R110" s="13"/>
      <c r="S110" s="13"/>
      <c r="T110" s="131"/>
    </row>
    <row r="111" spans="1:20" s="116" customFormat="1">
      <c r="A111" s="115"/>
      <c r="B111" s="115"/>
      <c r="C111" s="115"/>
      <c r="D111" s="115"/>
      <c r="E111" s="142"/>
      <c r="F111" s="142"/>
      <c r="G111" s="13"/>
      <c r="H111" s="13"/>
      <c r="I111" s="115"/>
      <c r="J111" s="115"/>
      <c r="K111" s="142"/>
      <c r="L111" s="160"/>
      <c r="M111" s="115"/>
      <c r="N111" s="158"/>
      <c r="O111" s="158"/>
      <c r="Q111" s="131"/>
      <c r="R111" s="13"/>
      <c r="S111" s="13"/>
      <c r="T111" s="131"/>
    </row>
    <row r="112" spans="1:20" s="116" customFormat="1">
      <c r="A112" s="115"/>
      <c r="B112" s="115"/>
      <c r="C112" s="115"/>
      <c r="D112" s="115"/>
      <c r="E112" s="142"/>
      <c r="F112" s="142"/>
      <c r="G112" s="13"/>
      <c r="H112" s="13"/>
      <c r="I112" s="115"/>
      <c r="J112" s="115"/>
      <c r="K112" s="142"/>
      <c r="L112" s="160"/>
      <c r="M112" s="115"/>
      <c r="N112" s="158"/>
      <c r="O112" s="158"/>
      <c r="Q112" s="131"/>
      <c r="R112" s="13"/>
      <c r="S112" s="13"/>
      <c r="T112" s="131"/>
    </row>
  </sheetData>
  <pageMargins left="0.7" right="0.7" top="0.75" bottom="0.75" header="0.3" footer="0.3"/>
  <pageSetup orientation="portrait" horizontalDpi="4294967293" verticalDpi="0" r:id="rId1"/>
  <drawing r:id="rId2"/>
  <legacyDrawing r:id="rId3"/>
</worksheet>
</file>

<file path=xl/worksheets/sheet15.xml><?xml version="1.0" encoding="utf-8"?>
<worksheet xmlns="http://schemas.openxmlformats.org/spreadsheetml/2006/main" xmlns:r="http://schemas.openxmlformats.org/officeDocument/2006/relationships">
  <dimension ref="A1:P48"/>
  <sheetViews>
    <sheetView workbookViewId="0"/>
  </sheetViews>
  <sheetFormatPr defaultRowHeight="12.75"/>
  <cols>
    <col min="1" max="3" width="9.140625" style="13"/>
    <col min="4" max="4" width="28.85546875" style="13" customWidth="1"/>
    <col min="5" max="6" width="9.140625" style="13"/>
    <col min="7" max="10" width="11.140625" style="13" customWidth="1"/>
    <col min="11" max="11" width="32.5703125" style="13" customWidth="1"/>
    <col min="12" max="12" width="18.85546875" style="206" customWidth="1"/>
    <col min="13" max="13" width="14.7109375" style="13" customWidth="1"/>
    <col min="14" max="14" width="10.85546875" style="13" customWidth="1"/>
    <col min="15" max="15" width="12.42578125" style="13" customWidth="1"/>
    <col min="16" max="16" width="15.5703125" style="13" customWidth="1"/>
    <col min="17" max="16384" width="9.140625" style="13"/>
  </cols>
  <sheetData>
    <row r="1" spans="1:16" ht="36.75" customHeight="1" thickBot="1">
      <c r="A1" s="94"/>
      <c r="B1" s="95"/>
      <c r="C1" s="95"/>
      <c r="D1" s="70"/>
      <c r="E1" s="95"/>
      <c r="F1" s="94"/>
      <c r="G1" s="95"/>
      <c r="H1" s="95"/>
      <c r="I1" s="95"/>
      <c r="J1" s="95"/>
      <c r="K1" s="95"/>
      <c r="L1" s="198"/>
    </row>
    <row r="2" spans="1:16" ht="13.5" thickBot="1">
      <c r="A2" s="96"/>
      <c r="B2" s="97"/>
      <c r="C2" s="197"/>
      <c r="D2" s="136"/>
      <c r="E2" s="97"/>
      <c r="F2" s="98"/>
      <c r="G2" s="97"/>
      <c r="H2" s="97"/>
      <c r="I2" s="97"/>
      <c r="J2" s="97"/>
      <c r="K2" s="97"/>
      <c r="L2" s="199"/>
      <c r="M2" s="139"/>
      <c r="N2" s="139"/>
      <c r="O2" s="139"/>
      <c r="P2" s="139"/>
    </row>
    <row r="3" spans="1:16" s="57" customFormat="1" ht="89.25">
      <c r="A3" s="54" t="s">
        <v>210</v>
      </c>
      <c r="B3" s="54" t="s">
        <v>207</v>
      </c>
      <c r="C3" s="54" t="s">
        <v>222</v>
      </c>
      <c r="D3" s="55" t="s">
        <v>223</v>
      </c>
      <c r="E3" s="54" t="s">
        <v>217</v>
      </c>
      <c r="F3" s="54" t="s">
        <v>218</v>
      </c>
      <c r="G3" s="54" t="s">
        <v>219</v>
      </c>
      <c r="H3" s="54" t="s">
        <v>220</v>
      </c>
      <c r="I3" s="54" t="s">
        <v>224</v>
      </c>
      <c r="J3" s="54" t="s">
        <v>221</v>
      </c>
      <c r="K3" s="54" t="s">
        <v>76</v>
      </c>
      <c r="L3" s="200" t="s">
        <v>228</v>
      </c>
      <c r="M3" s="54" t="s">
        <v>77</v>
      </c>
      <c r="N3" s="54" t="s">
        <v>78</v>
      </c>
      <c r="O3" s="54" t="s">
        <v>79</v>
      </c>
      <c r="P3" s="54" t="s">
        <v>80</v>
      </c>
    </row>
    <row r="4" spans="1:16">
      <c r="A4" s="70"/>
      <c r="B4" s="53" t="s">
        <v>208</v>
      </c>
      <c r="C4" s="53">
        <v>1</v>
      </c>
      <c r="D4" s="53"/>
      <c r="E4" s="70"/>
      <c r="F4" s="70"/>
      <c r="G4" s="70"/>
      <c r="H4" s="70"/>
      <c r="I4" s="70"/>
      <c r="J4" s="70"/>
      <c r="K4" s="70"/>
      <c r="L4" s="201"/>
      <c r="M4" s="127"/>
      <c r="N4" s="127"/>
      <c r="O4" s="127"/>
      <c r="P4" s="127"/>
    </row>
    <row r="5" spans="1:16">
      <c r="A5" s="70"/>
      <c r="B5" s="70"/>
      <c r="C5" s="70">
        <v>2</v>
      </c>
      <c r="D5" s="53"/>
      <c r="E5" s="70"/>
      <c r="F5" s="70"/>
      <c r="G5" s="70"/>
      <c r="H5" s="70"/>
      <c r="I5" s="70"/>
      <c r="J5" s="70"/>
      <c r="K5" s="70"/>
      <c r="L5" s="201"/>
      <c r="M5" s="53"/>
      <c r="N5" s="53"/>
      <c r="O5" s="53"/>
      <c r="P5" s="53"/>
    </row>
    <row r="6" spans="1:16">
      <c r="A6" s="70"/>
      <c r="B6" s="70"/>
      <c r="C6" s="70">
        <v>3</v>
      </c>
      <c r="D6" s="53"/>
      <c r="E6" s="70"/>
      <c r="F6" s="70"/>
      <c r="G6" s="70"/>
      <c r="H6" s="70"/>
      <c r="I6" s="70"/>
      <c r="J6" s="70"/>
      <c r="K6" s="70"/>
      <c r="L6" s="201"/>
      <c r="M6" s="53"/>
      <c r="N6" s="53"/>
      <c r="O6" s="53"/>
      <c r="P6" s="53"/>
    </row>
    <row r="7" spans="1:16">
      <c r="A7" s="70"/>
      <c r="B7" s="70" t="s">
        <v>208</v>
      </c>
      <c r="C7" s="70">
        <v>1</v>
      </c>
      <c r="D7" s="140"/>
      <c r="E7" s="70"/>
      <c r="F7" s="70"/>
      <c r="G7" s="70"/>
      <c r="H7" s="70"/>
      <c r="I7" s="70"/>
      <c r="J7" s="70"/>
      <c r="K7" s="70"/>
      <c r="L7" s="201"/>
      <c r="M7" s="53"/>
      <c r="N7" s="53"/>
      <c r="O7" s="53"/>
      <c r="P7" s="53"/>
    </row>
    <row r="8" spans="1:16">
      <c r="A8" s="70"/>
      <c r="B8" s="70"/>
      <c r="C8" s="70">
        <v>2</v>
      </c>
      <c r="D8" s="53"/>
      <c r="E8" s="70"/>
      <c r="F8" s="70"/>
      <c r="G8" s="70"/>
      <c r="H8" s="70"/>
      <c r="I8" s="70"/>
      <c r="J8" s="70"/>
      <c r="K8" s="70"/>
      <c r="L8" s="201"/>
      <c r="M8" s="53"/>
      <c r="N8" s="53"/>
      <c r="O8" s="53"/>
      <c r="P8" s="53"/>
    </row>
    <row r="9" spans="1:16">
      <c r="A9" s="70"/>
      <c r="B9" s="70"/>
      <c r="C9" s="70">
        <v>3</v>
      </c>
      <c r="D9" s="53"/>
      <c r="E9" s="70"/>
      <c r="F9" s="70"/>
      <c r="G9" s="70"/>
      <c r="H9" s="70"/>
      <c r="I9" s="70"/>
      <c r="J9" s="70"/>
      <c r="K9" s="70"/>
      <c r="L9" s="201"/>
      <c r="M9" s="53"/>
      <c r="N9" s="53"/>
      <c r="O9" s="53"/>
      <c r="P9" s="53"/>
    </row>
    <row r="10" spans="1:16">
      <c r="A10" s="70"/>
      <c r="B10" s="70"/>
      <c r="C10" s="70">
        <v>4</v>
      </c>
      <c r="D10" s="53"/>
      <c r="E10" s="70"/>
      <c r="F10" s="70"/>
      <c r="G10" s="70"/>
      <c r="H10" s="70"/>
      <c r="I10" s="70"/>
      <c r="J10" s="70"/>
      <c r="K10" s="70"/>
      <c r="L10" s="201"/>
      <c r="M10" s="127"/>
      <c r="N10" s="127"/>
      <c r="O10" s="127"/>
      <c r="P10" s="127"/>
    </row>
    <row r="11" spans="1:16">
      <c r="A11" s="70"/>
      <c r="B11" s="70"/>
      <c r="C11" s="70">
        <v>5</v>
      </c>
      <c r="D11" s="53"/>
      <c r="E11" s="70"/>
      <c r="F11" s="70"/>
      <c r="G11" s="70"/>
      <c r="H11" s="70"/>
      <c r="I11" s="70"/>
      <c r="J11" s="70"/>
      <c r="K11" s="70"/>
      <c r="L11" s="201"/>
      <c r="M11" s="64"/>
      <c r="N11" s="64"/>
      <c r="O11" s="64"/>
      <c r="P11" s="64"/>
    </row>
    <row r="12" spans="1:16">
      <c r="A12" s="70"/>
      <c r="B12" s="70"/>
      <c r="C12" s="70"/>
      <c r="D12" s="53"/>
      <c r="E12" s="70"/>
      <c r="F12" s="70"/>
      <c r="G12" s="70"/>
      <c r="H12" s="70"/>
      <c r="I12" s="70"/>
      <c r="J12" s="70"/>
      <c r="K12" s="70"/>
      <c r="L12" s="201"/>
      <c r="M12" s="64"/>
      <c r="N12" s="64"/>
      <c r="O12" s="64"/>
      <c r="P12" s="64"/>
    </row>
    <row r="13" spans="1:16">
      <c r="A13" s="70"/>
      <c r="B13" s="70"/>
      <c r="C13" s="70"/>
      <c r="D13" s="141"/>
      <c r="E13" s="70"/>
      <c r="F13" s="70"/>
      <c r="G13" s="70"/>
      <c r="H13" s="70"/>
      <c r="I13" s="70"/>
      <c r="J13" s="70"/>
      <c r="K13" s="70"/>
      <c r="L13" s="201"/>
      <c r="M13" s="64"/>
      <c r="N13" s="64"/>
      <c r="O13" s="64"/>
      <c r="P13" s="64"/>
    </row>
    <row r="14" spans="1:16">
      <c r="A14" s="166"/>
      <c r="B14" s="166"/>
      <c r="C14" s="166"/>
      <c r="D14" s="141"/>
      <c r="E14" s="166"/>
      <c r="F14" s="166"/>
      <c r="G14" s="166"/>
      <c r="H14" s="166"/>
      <c r="I14" s="166"/>
      <c r="J14" s="166"/>
      <c r="K14" s="166"/>
      <c r="L14" s="202"/>
      <c r="M14" s="64"/>
      <c r="N14" s="64"/>
      <c r="O14" s="64"/>
      <c r="P14" s="64"/>
    </row>
    <row r="15" spans="1:16">
      <c r="A15" s="166"/>
      <c r="B15" s="166"/>
      <c r="C15" s="166"/>
      <c r="D15" s="141"/>
      <c r="E15" s="166"/>
      <c r="F15" s="166"/>
      <c r="G15" s="166"/>
      <c r="H15" s="166"/>
      <c r="I15" s="166"/>
      <c r="J15" s="166"/>
      <c r="K15" s="166"/>
      <c r="L15" s="202"/>
      <c r="M15" s="64"/>
      <c r="N15" s="64"/>
      <c r="O15" s="64"/>
      <c r="P15" s="64"/>
    </row>
    <row r="16" spans="1:16">
      <c r="A16" s="166"/>
      <c r="B16" s="166"/>
      <c r="C16" s="166"/>
      <c r="D16" s="167"/>
      <c r="E16" s="166"/>
      <c r="F16" s="166"/>
      <c r="G16" s="166"/>
      <c r="H16" s="166"/>
      <c r="I16" s="166"/>
      <c r="J16" s="166"/>
      <c r="K16" s="166"/>
      <c r="L16" s="202"/>
      <c r="M16" s="59"/>
      <c r="N16" s="59"/>
      <c r="O16" s="59"/>
      <c r="P16" s="59"/>
    </row>
    <row r="17" spans="1:16">
      <c r="A17" s="166"/>
      <c r="B17" s="166"/>
      <c r="C17" s="166"/>
      <c r="D17" s="141"/>
      <c r="E17" s="166"/>
      <c r="F17" s="166"/>
      <c r="G17" s="166"/>
      <c r="H17" s="166"/>
      <c r="I17" s="166"/>
      <c r="J17" s="166"/>
      <c r="K17" s="166"/>
      <c r="L17" s="202"/>
      <c r="M17" s="59"/>
      <c r="N17" s="59"/>
      <c r="O17" s="59"/>
      <c r="P17" s="59"/>
    </row>
    <row r="18" spans="1:16">
      <c r="A18" s="166"/>
      <c r="B18" s="166"/>
      <c r="C18" s="166"/>
      <c r="D18" s="146"/>
      <c r="E18" s="166"/>
      <c r="F18" s="166"/>
      <c r="G18" s="166"/>
      <c r="H18" s="166"/>
      <c r="I18" s="166"/>
      <c r="J18" s="166"/>
      <c r="K18" s="166"/>
      <c r="L18" s="202"/>
      <c r="M18" s="59"/>
      <c r="N18" s="59"/>
      <c r="O18" s="59"/>
      <c r="P18" s="59"/>
    </row>
    <row r="19" spans="1:16" s="124" customFormat="1">
      <c r="A19" s="191"/>
      <c r="B19" s="191"/>
      <c r="C19" s="191"/>
      <c r="D19" s="192"/>
      <c r="E19" s="191"/>
      <c r="F19" s="191"/>
      <c r="G19" s="191"/>
      <c r="H19" s="191"/>
      <c r="I19" s="191"/>
      <c r="J19" s="191"/>
      <c r="K19" s="191"/>
      <c r="L19" s="203"/>
      <c r="M19" s="193"/>
      <c r="N19" s="193"/>
      <c r="O19" s="193"/>
      <c r="P19" s="193"/>
    </row>
    <row r="20" spans="1:16" s="49" customFormat="1" ht="25.5">
      <c r="A20" s="195"/>
      <c r="B20" s="195"/>
      <c r="C20" s="195"/>
      <c r="D20" s="195" t="s">
        <v>225</v>
      </c>
      <c r="E20" s="195"/>
      <c r="F20" s="195"/>
      <c r="G20" s="195"/>
      <c r="H20" s="195"/>
      <c r="I20" s="195"/>
      <c r="J20" s="195"/>
      <c r="K20" s="195"/>
      <c r="L20" s="204"/>
      <c r="M20" s="196"/>
      <c r="N20" s="196"/>
      <c r="O20" s="196"/>
      <c r="P20" s="196"/>
    </row>
    <row r="21" spans="1:16">
      <c r="A21" s="194"/>
      <c r="B21" s="194"/>
      <c r="C21" s="194"/>
      <c r="D21" s="187"/>
      <c r="E21" s="194"/>
      <c r="F21" s="194"/>
      <c r="G21" s="194"/>
      <c r="H21" s="194"/>
      <c r="I21" s="194"/>
      <c r="J21" s="194"/>
      <c r="K21" s="194"/>
      <c r="L21" s="205"/>
      <c r="M21" s="61"/>
      <c r="N21" s="61"/>
      <c r="O21" s="61"/>
      <c r="P21" s="61"/>
    </row>
    <row r="22" spans="1:16">
      <c r="A22" s="166"/>
      <c r="B22" s="166"/>
      <c r="C22" s="166"/>
      <c r="D22" s="141"/>
      <c r="E22" s="166"/>
      <c r="F22" s="166"/>
      <c r="G22" s="166"/>
      <c r="H22" s="166"/>
      <c r="I22" s="166"/>
      <c r="J22" s="166"/>
      <c r="K22" s="166"/>
      <c r="L22" s="202"/>
      <c r="M22" s="59"/>
      <c r="N22" s="59"/>
      <c r="O22" s="59"/>
      <c r="P22" s="59"/>
    </row>
    <row r="23" spans="1:16">
      <c r="A23" s="166"/>
      <c r="B23" s="166"/>
      <c r="C23" s="166"/>
      <c r="D23" s="141"/>
      <c r="E23" s="166"/>
      <c r="F23" s="166"/>
      <c r="G23" s="166"/>
      <c r="H23" s="166"/>
      <c r="I23" s="166"/>
      <c r="J23" s="166"/>
      <c r="K23" s="166"/>
      <c r="L23" s="202"/>
      <c r="M23" s="59"/>
      <c r="N23" s="59"/>
      <c r="O23" s="59"/>
      <c r="P23" s="59"/>
    </row>
    <row r="24" spans="1:16">
      <c r="A24" s="166"/>
      <c r="B24" s="166"/>
      <c r="C24" s="166"/>
      <c r="D24" s="53"/>
      <c r="E24" s="166"/>
      <c r="F24" s="166"/>
      <c r="G24" s="166"/>
      <c r="H24" s="166"/>
      <c r="I24" s="166"/>
      <c r="J24" s="166"/>
      <c r="K24" s="166"/>
      <c r="L24" s="202"/>
      <c r="M24" s="59"/>
      <c r="N24" s="59"/>
      <c r="O24" s="59"/>
      <c r="P24" s="59"/>
    </row>
    <row r="25" spans="1:16">
      <c r="A25" s="166"/>
      <c r="B25" s="166"/>
      <c r="C25" s="166"/>
      <c r="D25" s="53"/>
      <c r="E25" s="166"/>
      <c r="F25" s="166"/>
      <c r="G25" s="166"/>
      <c r="H25" s="166"/>
      <c r="I25" s="166"/>
      <c r="J25" s="166"/>
      <c r="K25" s="166"/>
      <c r="L25" s="202"/>
      <c r="M25" s="59"/>
      <c r="N25" s="59"/>
      <c r="O25" s="59"/>
      <c r="P25" s="59"/>
    </row>
    <row r="26" spans="1:16">
      <c r="A26" s="166"/>
      <c r="B26" s="166"/>
      <c r="C26" s="166"/>
      <c r="D26" s="141"/>
      <c r="E26" s="166"/>
      <c r="F26" s="166"/>
      <c r="G26" s="166"/>
      <c r="H26" s="166"/>
      <c r="I26" s="166"/>
      <c r="J26" s="166"/>
      <c r="K26" s="166"/>
      <c r="L26" s="202"/>
      <c r="M26" s="59"/>
      <c r="N26" s="59"/>
      <c r="O26" s="59"/>
      <c r="P26" s="59"/>
    </row>
    <row r="27" spans="1:16">
      <c r="A27" s="166"/>
      <c r="B27" s="166"/>
      <c r="C27" s="166"/>
      <c r="D27" s="141"/>
      <c r="E27" s="166"/>
      <c r="F27" s="166"/>
      <c r="G27" s="166"/>
      <c r="H27" s="166"/>
      <c r="I27" s="166"/>
      <c r="J27" s="166"/>
      <c r="K27" s="166"/>
      <c r="L27" s="202"/>
      <c r="M27" s="59"/>
      <c r="N27" s="59"/>
      <c r="O27" s="59"/>
      <c r="P27" s="59"/>
    </row>
    <row r="28" spans="1:16">
      <c r="A28" s="166"/>
      <c r="B28" s="166"/>
      <c r="C28" s="166"/>
      <c r="D28" s="141"/>
      <c r="E28" s="166"/>
      <c r="F28" s="166"/>
      <c r="G28" s="166"/>
      <c r="H28" s="166"/>
      <c r="I28" s="166"/>
      <c r="J28" s="166"/>
      <c r="K28" s="166"/>
      <c r="L28" s="202"/>
      <c r="M28" s="59"/>
      <c r="N28" s="59"/>
      <c r="O28" s="59"/>
      <c r="P28" s="59"/>
    </row>
    <row r="29" spans="1:16">
      <c r="A29" s="166"/>
      <c r="B29" s="166"/>
      <c r="C29" s="166"/>
      <c r="D29" s="53"/>
      <c r="E29" s="166"/>
      <c r="F29" s="166"/>
      <c r="G29" s="166"/>
      <c r="H29" s="166"/>
      <c r="I29" s="166"/>
      <c r="J29" s="166"/>
      <c r="K29" s="166"/>
      <c r="L29" s="202"/>
      <c r="M29" s="59"/>
      <c r="N29" s="59"/>
      <c r="O29" s="59"/>
      <c r="P29" s="59"/>
    </row>
    <row r="30" spans="1:16">
      <c r="A30" s="166"/>
      <c r="B30" s="166"/>
      <c r="C30" s="166"/>
      <c r="D30" s="168"/>
      <c r="E30" s="166"/>
      <c r="F30" s="166"/>
      <c r="G30" s="166"/>
      <c r="H30" s="166"/>
      <c r="I30" s="166"/>
      <c r="J30" s="166"/>
      <c r="K30" s="166"/>
      <c r="L30" s="202"/>
      <c r="M30" s="59"/>
      <c r="N30" s="59"/>
      <c r="O30" s="59"/>
      <c r="P30" s="59"/>
    </row>
    <row r="31" spans="1:16">
      <c r="A31" s="166"/>
      <c r="B31" s="166"/>
      <c r="C31" s="166"/>
      <c r="D31" s="53"/>
      <c r="E31" s="166"/>
      <c r="F31" s="166"/>
      <c r="G31" s="166"/>
      <c r="H31" s="166"/>
      <c r="I31" s="166"/>
      <c r="J31" s="166"/>
      <c r="K31" s="166"/>
      <c r="L31" s="202"/>
      <c r="M31" s="59"/>
      <c r="N31" s="59"/>
      <c r="O31" s="59"/>
      <c r="P31" s="59"/>
    </row>
    <row r="32" spans="1:16">
      <c r="A32" s="166"/>
      <c r="B32" s="166"/>
      <c r="C32" s="166"/>
      <c r="D32" s="141"/>
      <c r="E32" s="166"/>
      <c r="F32" s="166"/>
      <c r="G32" s="166"/>
      <c r="H32" s="166"/>
      <c r="I32" s="166"/>
      <c r="J32" s="166"/>
      <c r="K32" s="166"/>
      <c r="L32" s="202"/>
      <c r="M32" s="59"/>
      <c r="N32" s="59"/>
      <c r="O32" s="59"/>
      <c r="P32" s="59"/>
    </row>
    <row r="33" spans="1:16">
      <c r="A33" s="166"/>
      <c r="B33" s="166"/>
      <c r="C33" s="166"/>
      <c r="D33" s="141"/>
      <c r="E33" s="166"/>
      <c r="F33" s="166"/>
      <c r="G33" s="166"/>
      <c r="H33" s="166"/>
      <c r="I33" s="166"/>
      <c r="J33" s="166"/>
      <c r="K33" s="166"/>
      <c r="L33" s="202"/>
      <c r="M33" s="59"/>
      <c r="N33" s="59"/>
      <c r="O33" s="59"/>
      <c r="P33" s="59"/>
    </row>
    <row r="34" spans="1:16">
      <c r="A34" s="166"/>
      <c r="B34" s="166"/>
      <c r="C34" s="166"/>
      <c r="D34" s="141"/>
      <c r="E34" s="166"/>
      <c r="F34" s="166"/>
      <c r="G34" s="166"/>
      <c r="H34" s="166"/>
      <c r="I34" s="166"/>
      <c r="J34" s="166"/>
      <c r="K34" s="166"/>
      <c r="L34" s="202"/>
      <c r="M34" s="59"/>
      <c r="N34" s="59"/>
      <c r="O34" s="59"/>
      <c r="P34" s="59"/>
    </row>
    <row r="35" spans="1:16">
      <c r="A35" s="166"/>
      <c r="B35" s="166"/>
      <c r="C35" s="166"/>
      <c r="D35" s="141"/>
      <c r="E35" s="166"/>
      <c r="F35" s="166"/>
      <c r="G35" s="166"/>
      <c r="H35" s="166"/>
      <c r="I35" s="166"/>
      <c r="J35" s="166"/>
      <c r="K35" s="166"/>
      <c r="L35" s="202"/>
      <c r="M35" s="59"/>
      <c r="N35" s="59"/>
      <c r="O35" s="59"/>
      <c r="P35" s="59"/>
    </row>
    <row r="36" spans="1:16">
      <c r="A36" s="166"/>
      <c r="B36" s="166"/>
      <c r="C36" s="166"/>
      <c r="D36" s="141"/>
      <c r="E36" s="166"/>
      <c r="F36" s="166"/>
      <c r="G36" s="166"/>
      <c r="H36" s="166"/>
      <c r="I36" s="166"/>
      <c r="J36" s="166"/>
      <c r="K36" s="166"/>
      <c r="L36" s="202"/>
      <c r="M36" s="59"/>
      <c r="N36" s="59"/>
      <c r="O36" s="59"/>
      <c r="P36" s="59"/>
    </row>
    <row r="37" spans="1:16">
      <c r="A37" s="166"/>
      <c r="B37" s="166"/>
      <c r="C37" s="166"/>
      <c r="D37" s="141"/>
      <c r="E37" s="166"/>
      <c r="F37" s="166"/>
      <c r="G37" s="166"/>
      <c r="H37" s="166"/>
      <c r="I37" s="166"/>
      <c r="J37" s="166"/>
      <c r="K37" s="166"/>
      <c r="L37" s="202"/>
      <c r="M37" s="59"/>
      <c r="N37" s="59"/>
      <c r="O37" s="59"/>
      <c r="P37" s="59"/>
    </row>
    <row r="38" spans="1:16">
      <c r="A38" s="166"/>
      <c r="B38" s="166"/>
      <c r="C38" s="166"/>
      <c r="D38" s="141"/>
      <c r="E38" s="166"/>
      <c r="F38" s="166"/>
      <c r="G38" s="166"/>
      <c r="H38" s="166"/>
      <c r="I38" s="166"/>
      <c r="J38" s="166"/>
      <c r="K38" s="166"/>
      <c r="L38" s="202"/>
      <c r="M38" s="59"/>
      <c r="N38" s="59"/>
      <c r="O38" s="59"/>
      <c r="P38" s="59"/>
    </row>
    <row r="39" spans="1:16">
      <c r="A39" s="166"/>
      <c r="B39" s="166"/>
      <c r="C39" s="166"/>
      <c r="D39" s="141"/>
      <c r="E39" s="166"/>
      <c r="F39" s="166"/>
      <c r="G39" s="166"/>
      <c r="H39" s="166"/>
      <c r="I39" s="166"/>
      <c r="J39" s="166"/>
      <c r="K39" s="166"/>
      <c r="L39" s="202"/>
      <c r="M39" s="59"/>
      <c r="N39" s="59"/>
      <c r="O39" s="59"/>
      <c r="P39" s="59"/>
    </row>
    <row r="40" spans="1:16">
      <c r="A40" s="166"/>
      <c r="B40" s="166"/>
      <c r="C40" s="166"/>
      <c r="D40" s="141"/>
      <c r="E40" s="166"/>
      <c r="F40" s="166"/>
      <c r="G40" s="166"/>
      <c r="H40" s="166"/>
      <c r="I40" s="166"/>
      <c r="J40" s="166"/>
      <c r="K40" s="166"/>
      <c r="L40" s="202"/>
      <c r="M40" s="59"/>
      <c r="N40" s="59"/>
      <c r="O40" s="59"/>
      <c r="P40" s="59"/>
    </row>
    <row r="41" spans="1:16">
      <c r="A41" s="166"/>
      <c r="B41" s="166"/>
      <c r="C41" s="166"/>
      <c r="D41" s="141"/>
      <c r="E41" s="166"/>
      <c r="F41" s="166"/>
      <c r="G41" s="166"/>
      <c r="H41" s="166"/>
      <c r="I41" s="166"/>
      <c r="J41" s="166"/>
      <c r="K41" s="166"/>
      <c r="L41" s="202"/>
      <c r="M41" s="59"/>
      <c r="N41" s="59"/>
      <c r="O41" s="59"/>
      <c r="P41" s="59"/>
    </row>
    <row r="42" spans="1:16">
      <c r="A42" s="166"/>
      <c r="B42" s="166"/>
      <c r="C42" s="166"/>
      <c r="D42" s="141"/>
      <c r="E42" s="166"/>
      <c r="F42" s="166"/>
      <c r="G42" s="166"/>
      <c r="H42" s="166"/>
      <c r="I42" s="166"/>
      <c r="J42" s="166"/>
      <c r="K42" s="166"/>
      <c r="L42" s="202"/>
      <c r="M42" s="59"/>
      <c r="N42" s="59"/>
      <c r="O42" s="59"/>
      <c r="P42" s="59"/>
    </row>
    <row r="43" spans="1:16">
      <c r="A43" s="166"/>
      <c r="B43" s="166"/>
      <c r="C43" s="166"/>
      <c r="D43" s="141"/>
      <c r="E43" s="166"/>
      <c r="F43" s="166"/>
      <c r="G43" s="166"/>
      <c r="H43" s="166"/>
      <c r="I43" s="166"/>
      <c r="J43" s="166"/>
      <c r="K43" s="166"/>
      <c r="L43" s="202"/>
      <c r="M43" s="59"/>
      <c r="N43" s="59"/>
      <c r="O43" s="59"/>
      <c r="P43" s="59"/>
    </row>
    <row r="44" spans="1:16">
      <c r="A44" s="166"/>
      <c r="B44" s="166"/>
      <c r="C44" s="166"/>
      <c r="D44" s="141"/>
      <c r="E44" s="166"/>
      <c r="F44" s="166"/>
      <c r="G44" s="166"/>
      <c r="H44" s="166"/>
      <c r="I44" s="166"/>
      <c r="J44" s="166"/>
      <c r="K44" s="166"/>
      <c r="L44" s="202"/>
      <c r="M44" s="59"/>
      <c r="N44" s="59"/>
      <c r="O44" s="59"/>
      <c r="P44" s="59"/>
    </row>
    <row r="45" spans="1:16">
      <c r="A45" s="166"/>
      <c r="B45" s="166"/>
      <c r="C45" s="166"/>
      <c r="D45" s="141"/>
      <c r="E45" s="166"/>
      <c r="F45" s="166"/>
      <c r="G45" s="166"/>
      <c r="H45" s="166"/>
      <c r="I45" s="166"/>
      <c r="J45" s="166"/>
      <c r="K45" s="166"/>
      <c r="L45" s="202"/>
      <c r="M45" s="59"/>
      <c r="N45" s="59"/>
      <c r="O45" s="59"/>
      <c r="P45" s="59"/>
    </row>
    <row r="46" spans="1:16">
      <c r="A46" s="166"/>
      <c r="B46" s="166"/>
      <c r="C46" s="166"/>
      <c r="D46" s="141"/>
      <c r="E46" s="166"/>
      <c r="F46" s="166"/>
      <c r="G46" s="166"/>
      <c r="H46" s="166"/>
      <c r="I46" s="166"/>
      <c r="J46" s="166"/>
      <c r="K46" s="166"/>
      <c r="L46" s="202"/>
      <c r="M46" s="59"/>
      <c r="N46" s="59"/>
      <c r="O46" s="59"/>
      <c r="P46" s="59"/>
    </row>
    <row r="47" spans="1:16">
      <c r="A47" s="166"/>
      <c r="B47" s="166"/>
      <c r="C47" s="166"/>
      <c r="D47" s="141"/>
      <c r="E47" s="166"/>
      <c r="F47" s="166"/>
      <c r="G47" s="166"/>
      <c r="H47" s="166"/>
      <c r="I47" s="166"/>
      <c r="J47" s="166"/>
      <c r="K47" s="166"/>
      <c r="L47" s="202"/>
      <c r="M47" s="59"/>
      <c r="N47" s="59"/>
      <c r="O47" s="59"/>
      <c r="P47" s="59"/>
    </row>
    <row r="48" spans="1:16">
      <c r="A48" s="166"/>
      <c r="B48" s="166"/>
      <c r="C48" s="166"/>
      <c r="D48" s="141"/>
      <c r="E48" s="166"/>
      <c r="F48" s="166"/>
      <c r="G48" s="166"/>
      <c r="H48" s="166"/>
      <c r="I48" s="166"/>
      <c r="J48" s="166"/>
      <c r="K48" s="166"/>
      <c r="L48" s="202"/>
      <c r="M48" s="59"/>
      <c r="N48" s="59"/>
      <c r="O48" s="59"/>
      <c r="P48" s="59"/>
    </row>
  </sheetData>
  <pageMargins left="0.7" right="0.7" top="0.75" bottom="0.75" header="0.3" footer="0.3"/>
  <pageSetup orientation="portrait" horizontalDpi="4294967293" verticalDpi="0" r:id="rId1"/>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7</vt:i4>
      </vt:variant>
    </vt:vector>
  </HeadingPairs>
  <TitlesOfParts>
    <vt:vector size="21" baseType="lpstr">
      <vt:lpstr>Title Page</vt:lpstr>
      <vt:lpstr>General Instructions</vt:lpstr>
      <vt:lpstr>Sheet Definitions</vt:lpstr>
      <vt:lpstr>Document Control</vt:lpstr>
      <vt:lpstr>Original Requirements</vt:lpstr>
      <vt:lpstr>RD.045 MoSCoW List</vt:lpstr>
      <vt:lpstr>RA.023 Use Case Catalog</vt:lpstr>
      <vt:lpstr>RD.055 Supplemental Req</vt:lpstr>
      <vt:lpstr>RA.025 Services Traceability</vt:lpstr>
      <vt:lpstr>RA.027 Rules Tracability</vt:lpstr>
      <vt:lpstr>TE.0xx Test Tracability</vt:lpstr>
      <vt:lpstr>RD.042 Glossary Xref</vt:lpstr>
      <vt:lpstr>Product Backlog (Scrum)</vt:lpstr>
      <vt:lpstr>Sprint Backlog (Scrum)</vt:lpstr>
      <vt:lpstr>Author</vt:lpstr>
      <vt:lpstr>ChangeDate</vt:lpstr>
      <vt:lpstr>'Document Control'!CustomTops</vt:lpstr>
      <vt:lpstr>'Title Page'!CustomTops</vt:lpstr>
      <vt:lpstr>Document_Ref</vt:lpstr>
      <vt:lpstr>Subject</vt:lpstr>
      <vt:lpstr>Title</vt:lpstr>
    </vt:vector>
  </TitlesOfParts>
  <Company>Oracle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RD.045 MoSCoW List</dc:title>
  <dc:creator>Oracle Methods</dc:creator>
  <cp:keywords>OUM</cp:keywords>
  <dc:description>Copyright © 2006, 2011, Oracle and/or its affiliates.  All rights reserved.</dc:description>
  <cp:lastModifiedBy>masander</cp:lastModifiedBy>
  <cp:lastPrinted>2010-08-08T22:18:37Z</cp:lastPrinted>
  <dcterms:created xsi:type="dcterms:W3CDTF">2007-10-09T20:56:26Z</dcterms:created>
  <dcterms:modified xsi:type="dcterms:W3CDTF">2014-10-03T21:37:11Z</dcterms:modified>
</cp:coreProperties>
</file>